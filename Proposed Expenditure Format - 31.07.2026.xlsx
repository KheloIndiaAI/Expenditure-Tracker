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rohan_banja_in_ey_com/Documents/Khelo India/Expenditure Trends/"/>
    </mc:Choice>
  </mc:AlternateContent>
  <xr:revisionPtr revIDLastSave="242" documentId="8_{BF1D5BF3-4C05-42DA-8923-2F0D056C1E2F}" xr6:coauthVersionLast="47" xr6:coauthVersionMax="47" xr10:uidLastSave="{C9141623-AD43-46A1-947A-F941C1C7B6C2}"/>
  <bookViews>
    <workbookView xWindow="-110" yWindow="-110" windowWidth="19420" windowHeight="10300" xr2:uid="{C7D1345D-9FEA-4B17-9693-E1A4362C3E3D}"/>
  </bookViews>
  <sheets>
    <sheet name="31.07.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8" i="2" l="1"/>
  <c r="AI38" i="2" s="1"/>
  <c r="AK23" i="2"/>
  <c r="AK22" i="2"/>
  <c r="AK19" i="2"/>
  <c r="AK7" i="2"/>
  <c r="AK8" i="2"/>
  <c r="AK10" i="2"/>
  <c r="AK11" i="2"/>
  <c r="AK13" i="2"/>
  <c r="AK14" i="2"/>
  <c r="AK15" i="2"/>
  <c r="AK16" i="2"/>
  <c r="AK6" i="2"/>
  <c r="C24" i="2"/>
  <c r="AJ38" i="2" l="1"/>
  <c r="AK38" i="2"/>
  <c r="C17" i="2" l="1"/>
  <c r="C25" i="2"/>
  <c r="C39" i="2" l="1"/>
  <c r="C40" i="2" s="1"/>
  <c r="AH19" i="2" l="1"/>
  <c r="AI19" i="2" s="1"/>
  <c r="AJ19" i="2" s="1"/>
  <c r="AH22" i="2"/>
  <c r="AI22" i="2" s="1"/>
  <c r="AJ22" i="2" s="1"/>
  <c r="AH23" i="2"/>
  <c r="AI23" i="2" s="1"/>
  <c r="AJ23" i="2" s="1"/>
  <c r="AG23" i="2"/>
  <c r="AG22" i="2"/>
  <c r="AG19" i="2"/>
  <c r="AG7" i="2"/>
  <c r="AH7" i="2"/>
  <c r="AI7" i="2" s="1"/>
  <c r="AJ7" i="2" s="1"/>
  <c r="AG8" i="2"/>
  <c r="AH8" i="2"/>
  <c r="AG10" i="2"/>
  <c r="AH10" i="2"/>
  <c r="AI10" i="2" s="1"/>
  <c r="AJ10" i="2" s="1"/>
  <c r="AG11" i="2"/>
  <c r="AH11" i="2"/>
  <c r="AI11" i="2" s="1"/>
  <c r="AJ11" i="2" s="1"/>
  <c r="AG13" i="2"/>
  <c r="AH13" i="2"/>
  <c r="AI13" i="2" s="1"/>
  <c r="AJ13" i="2" s="1"/>
  <c r="AG14" i="2"/>
  <c r="AH14" i="2"/>
  <c r="AI14" i="2" s="1"/>
  <c r="AJ14" i="2" s="1"/>
  <c r="AG15" i="2"/>
  <c r="AH15" i="2"/>
  <c r="AI15" i="2" s="1"/>
  <c r="AJ15" i="2" s="1"/>
  <c r="AG16" i="2"/>
  <c r="AH16" i="2"/>
  <c r="AI16" i="2" s="1"/>
  <c r="AJ16" i="2" s="1"/>
  <c r="AH6" i="2"/>
  <c r="AG6" i="2"/>
  <c r="AF24" i="2"/>
  <c r="AF25" i="2" s="1"/>
  <c r="AE24" i="2"/>
  <c r="AE25" i="2" s="1"/>
  <c r="AD24" i="2"/>
  <c r="AD25" i="2" s="1"/>
  <c r="AC24" i="2"/>
  <c r="AC25" i="2" s="1"/>
  <c r="AB24" i="2"/>
  <c r="AB25" i="2" s="1"/>
  <c r="AA24" i="2"/>
  <c r="AA25" i="2" s="1"/>
  <c r="Z24" i="2"/>
  <c r="Z25" i="2" s="1"/>
  <c r="Y24" i="2"/>
  <c r="Y25" i="2" s="1"/>
  <c r="X24" i="2"/>
  <c r="X25" i="2" s="1"/>
  <c r="W24" i="2"/>
  <c r="W25" i="2" s="1"/>
  <c r="V24" i="2"/>
  <c r="V25" i="2" s="1"/>
  <c r="U24" i="2"/>
  <c r="U25" i="2" s="1"/>
  <c r="T24" i="2"/>
  <c r="T25" i="2" s="1"/>
  <c r="S24" i="2"/>
  <c r="S25" i="2" s="1"/>
  <c r="R24" i="2"/>
  <c r="R25" i="2" s="1"/>
  <c r="Q24" i="2"/>
  <c r="Q25" i="2" s="1"/>
  <c r="P24" i="2"/>
  <c r="P25" i="2" s="1"/>
  <c r="O24" i="2"/>
  <c r="O25" i="2" s="1"/>
  <c r="N24" i="2"/>
  <c r="N25" i="2" s="1"/>
  <c r="M24" i="2"/>
  <c r="M25" i="2" s="1"/>
  <c r="L24" i="2"/>
  <c r="L25" i="2" s="1"/>
  <c r="K24" i="2"/>
  <c r="K25" i="2" s="1"/>
  <c r="J24" i="2"/>
  <c r="J25" i="2" s="1"/>
  <c r="I24" i="2"/>
  <c r="I25" i="2" s="1"/>
  <c r="H24" i="2"/>
  <c r="H25" i="2" s="1"/>
  <c r="G24" i="2"/>
  <c r="G25" i="2" s="1"/>
  <c r="F24" i="2"/>
  <c r="F25" i="2" s="1"/>
  <c r="E24" i="2"/>
  <c r="E25" i="2" s="1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24" i="2"/>
  <c r="D25" i="2" s="1"/>
  <c r="D17" i="2"/>
  <c r="AK24" i="2" l="1"/>
  <c r="AK25" i="2" s="1"/>
  <c r="AI6" i="2"/>
  <c r="AJ6" i="2" s="1"/>
  <c r="O39" i="2"/>
  <c r="O40" i="2" s="1"/>
  <c r="W39" i="2"/>
  <c r="W40" i="2" s="1"/>
  <c r="AE39" i="2"/>
  <c r="AE40" i="2" s="1"/>
  <c r="D39" i="2"/>
  <c r="D40" i="2" s="1"/>
  <c r="Q39" i="2"/>
  <c r="Q40" i="2" s="1"/>
  <c r="AG17" i="2"/>
  <c r="AI24" i="2"/>
  <c r="AI25" i="2" s="1"/>
  <c r="AH17" i="2"/>
  <c r="J39" i="2"/>
  <c r="J40" i="2" s="1"/>
  <c r="Z39" i="2"/>
  <c r="Z40" i="2" s="1"/>
  <c r="R39" i="2"/>
  <c r="R40" i="2" s="1"/>
  <c r="AI8" i="2"/>
  <c r="AJ8" i="2" s="1"/>
  <c r="AJ24" i="2"/>
  <c r="AJ25" i="2" s="1"/>
  <c r="G39" i="2"/>
  <c r="G40" i="2" s="1"/>
  <c r="AH24" i="2"/>
  <c r="AH25" i="2" s="1"/>
  <c r="AG24" i="2"/>
  <c r="AG25" i="2" s="1"/>
  <c r="H39" i="2"/>
  <c r="H40" i="2" s="1"/>
  <c r="P39" i="2"/>
  <c r="P40" i="2" s="1"/>
  <c r="X39" i="2"/>
  <c r="X40" i="2" s="1"/>
  <c r="AF39" i="2"/>
  <c r="AF40" i="2" s="1"/>
  <c r="AE41" i="2" s="1"/>
  <c r="I39" i="2"/>
  <c r="I40" i="2" s="1"/>
  <c r="Y39" i="2"/>
  <c r="Y40" i="2" s="1"/>
  <c r="N39" i="2"/>
  <c r="N40" i="2" s="1"/>
  <c r="AC39" i="2"/>
  <c r="AC40" i="2" s="1"/>
  <c r="E39" i="2"/>
  <c r="E40" i="2" s="1"/>
  <c r="M39" i="2"/>
  <c r="M40" i="2" s="1"/>
  <c r="F39" i="2"/>
  <c r="F40" i="2" s="1"/>
  <c r="AD39" i="2"/>
  <c r="AD40" i="2" s="1"/>
  <c r="U39" i="2"/>
  <c r="U40" i="2" s="1"/>
  <c r="V39" i="2"/>
  <c r="V40" i="2" s="1"/>
  <c r="K39" i="2"/>
  <c r="K40" i="2" s="1"/>
  <c r="S39" i="2"/>
  <c r="S40" i="2" s="1"/>
  <c r="AA39" i="2"/>
  <c r="AA40" i="2" s="1"/>
  <c r="L39" i="2"/>
  <c r="L40" i="2" s="1"/>
  <c r="T39" i="2"/>
  <c r="T40" i="2" s="1"/>
  <c r="AB39" i="2"/>
  <c r="AB40" i="2" s="1"/>
  <c r="O41" i="2" l="1"/>
  <c r="AH39" i="2"/>
  <c r="AH40" i="2" s="1"/>
  <c r="K41" i="2"/>
  <c r="W41" i="2"/>
  <c r="AC41" i="2"/>
  <c r="S41" i="2"/>
  <c r="I41" i="2"/>
  <c r="AJ17" i="2"/>
  <c r="AJ39" i="2" s="1"/>
  <c r="AK17" i="2"/>
  <c r="AK39" i="2" s="1"/>
  <c r="AA41" i="2"/>
  <c r="E41" i="2"/>
  <c r="Q41" i="2"/>
  <c r="AG39" i="2"/>
  <c r="AG40" i="2" s="1"/>
  <c r="AG41" i="2" s="1"/>
  <c r="Y41" i="2"/>
  <c r="G41" i="2"/>
  <c r="U41" i="2"/>
  <c r="M41" i="2"/>
  <c r="AI17" i="2"/>
  <c r="AI39" i="2" s="1"/>
  <c r="AI40" i="2" s="1"/>
</calcChain>
</file>

<file path=xl/sharedStrings.xml><?xml version="1.0" encoding="utf-8"?>
<sst xmlns="http://schemas.openxmlformats.org/spreadsheetml/2006/main" count="106" uniqueCount="73">
  <si>
    <t>S NO</t>
  </si>
  <si>
    <t>VERTICALS RECURRING</t>
  </si>
  <si>
    <t>Assignment from Ministry as on date</t>
  </si>
  <si>
    <t>DDO HQ</t>
  </si>
  <si>
    <t>PATIALA</t>
  </si>
  <si>
    <t>BANGALORE</t>
  </si>
  <si>
    <t>BHOPAL</t>
  </si>
  <si>
    <t>CHANDIGARH</t>
  </si>
  <si>
    <t>GANDHINAGAR</t>
  </si>
  <si>
    <t>GUWAHATI</t>
  </si>
  <si>
    <t>IMPHAL</t>
  </si>
  <si>
    <t>KOLKATA</t>
  </si>
  <si>
    <t>MUMBAI</t>
  </si>
  <si>
    <t>SONEPAT</t>
  </si>
  <si>
    <t>TRIVANDRUM</t>
  </si>
  <si>
    <t xml:space="preserve">Limit Assigned </t>
  </si>
  <si>
    <t xml:space="preserve">Actual Exp. </t>
  </si>
  <si>
    <t>Limit Assigned</t>
  </si>
  <si>
    <t>Khelo India Games</t>
  </si>
  <si>
    <t>Talent Identification &amp; Development</t>
  </si>
  <si>
    <t>Khelo India Centres</t>
  </si>
  <si>
    <t>Fit India Movement</t>
  </si>
  <si>
    <t>Sports for Peace and Development</t>
  </si>
  <si>
    <t>Sports for rural/indigenous/tribal</t>
  </si>
  <si>
    <t>Sports for Women</t>
  </si>
  <si>
    <t>Sports Academies</t>
  </si>
  <si>
    <t>a</t>
  </si>
  <si>
    <t>b</t>
  </si>
  <si>
    <t>Khelo India</t>
  </si>
  <si>
    <t>Actual Exp.</t>
  </si>
  <si>
    <t>COMPONENTS</t>
  </si>
  <si>
    <t>Total (Recurring)</t>
  </si>
  <si>
    <t>Total (Non-Recurring)</t>
  </si>
  <si>
    <t>INFRASTRUCTURE</t>
  </si>
  <si>
    <t>Total (Infrastructure- MDSD)</t>
  </si>
  <si>
    <t>New Sports Infrastructure Projects</t>
  </si>
  <si>
    <t>Sports Competitions and Talent Development</t>
  </si>
  <si>
    <t>c</t>
  </si>
  <si>
    <t>Community Coaching &amp; Development</t>
  </si>
  <si>
    <t>Khelo India Centres and Sports Academies</t>
  </si>
  <si>
    <t>Khelo India Centres &amp; Sports Academies</t>
  </si>
  <si>
    <t>Promotion of  Inclusiveness through Sports</t>
  </si>
  <si>
    <t>Sports for disabled sportspersons</t>
  </si>
  <si>
    <t>d</t>
  </si>
  <si>
    <t>INFRASTRUCTURE-KIS</t>
  </si>
  <si>
    <t>VERTICALS NON-RECURRING</t>
  </si>
  <si>
    <t>Khelo India Centres (N-Rec)</t>
  </si>
  <si>
    <t>Total (Non-Recurring + Infrastructure)</t>
  </si>
  <si>
    <t>Direct Expenditure</t>
  </si>
  <si>
    <t>BALANCE</t>
  </si>
  <si>
    <t>LUCKNOW</t>
  </si>
  <si>
    <t>INFRA</t>
  </si>
  <si>
    <t>DDO KI</t>
  </si>
  <si>
    <t>TOTAL LIMIT UTILISATION</t>
  </si>
  <si>
    <t>TOTAL EXPENDITURE</t>
  </si>
  <si>
    <t>in INR</t>
  </si>
  <si>
    <t>in INR (Cr.)</t>
  </si>
  <si>
    <t>GRAND TOTAL (in INR)</t>
  </si>
  <si>
    <t>GRAND TOTAL (in INR Cr.)</t>
  </si>
  <si>
    <t>BALANCE (in INR Cr.)</t>
  </si>
  <si>
    <t>Maharashtra</t>
  </si>
  <si>
    <t>Meghalaya</t>
  </si>
  <si>
    <t>Uttar Pradesh</t>
  </si>
  <si>
    <t>Puducherry</t>
  </si>
  <si>
    <t>Andhra Pradesh</t>
  </si>
  <si>
    <t>Haryana</t>
  </si>
  <si>
    <t>Karnataka</t>
  </si>
  <si>
    <t>Kerala</t>
  </si>
  <si>
    <t>Odisha</t>
  </si>
  <si>
    <t>IIT Patna</t>
  </si>
  <si>
    <t>IISER, Tirupati</t>
  </si>
  <si>
    <t>Summary Sheet - Expenditure (as of 31.07.2026)</t>
  </si>
  <si>
    <t>Assumption made based on sanctioned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</si>
</sst>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Times New Roman"/>
    </font>
    <font>
      <sz val="10"/>
      <color rgb="FF000000"/>
      <name val="Aptos Narrow"/>
    </font>
    <font>
      <b/>
      <sz val="10"/>
      <color rgb="FF000000"/>
      <name val="Aptos Narrow"/>
    </font>
    <font>
      <b/>
      <sz val="10"/>
      <color rgb="FF000000"/>
      <name val="Aptos Narrow"/>
      <scheme val="minor"/>
    </font>
    <font>
      <b/>
      <sz val="14"/>
      <color theme="0"/>
      <name val="Aptos Narrow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b/>
      <sz val="11"/>
      <color theme="1"/>
      <name val="Aptos Narrow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</font>
    <font>
      <b/>
      <sz val="12"/>
      <color theme="0"/>
      <name val="Aptos Narrow"/>
      <family val="2"/>
    </font>
    <font>
      <sz val="10"/>
      <color theme="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4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1" applyFont="1"/>
    <xf numFmtId="0" fontId="1" fillId="0" borderId="0" xfId="1"/>
    <xf numFmtId="0" fontId="4" fillId="0" borderId="4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2" fontId="3" fillId="0" borderId="0" xfId="1" applyNumberFormat="1" applyFont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2" fontId="3" fillId="0" borderId="4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3" borderId="4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3" fillId="0" borderId="7" xfId="1" applyFont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8" fillId="0" borderId="4" xfId="1" applyFont="1" applyBorder="1" applyAlignment="1">
      <alignment horizontal="left" vertical="center"/>
    </xf>
    <xf numFmtId="0" fontId="9" fillId="0" borderId="0" xfId="1" applyFont="1" applyAlignment="1">
      <alignment horizontal="center"/>
    </xf>
    <xf numFmtId="0" fontId="4" fillId="6" borderId="4" xfId="1" applyFont="1" applyFill="1" applyBorder="1" applyAlignment="1">
      <alignment horizontal="center" vertical="center"/>
    </xf>
    <xf numFmtId="0" fontId="11" fillId="6" borderId="4" xfId="1" applyFont="1" applyFill="1" applyBorder="1" applyAlignment="1">
      <alignment horizontal="center" vertical="center"/>
    </xf>
    <xf numFmtId="0" fontId="11" fillId="6" borderId="4" xfId="1" applyFont="1" applyFill="1" applyBorder="1" applyAlignment="1">
      <alignment horizontal="left" vertical="center"/>
    </xf>
    <xf numFmtId="0" fontId="5" fillId="7" borderId="4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11" fillId="4" borderId="4" xfId="1" applyFont="1" applyFill="1" applyBorder="1" applyAlignment="1">
      <alignment horizontal="center" vertical="center"/>
    </xf>
    <xf numFmtId="0" fontId="13" fillId="6" borderId="4" xfId="1" applyFont="1" applyFill="1" applyBorder="1" applyAlignment="1">
      <alignment horizontal="center" vertical="center"/>
    </xf>
    <xf numFmtId="2" fontId="13" fillId="6" borderId="4" xfId="1" applyNumberFormat="1" applyFont="1" applyFill="1" applyBorder="1" applyAlignment="1">
      <alignment horizontal="center" vertical="center"/>
    </xf>
    <xf numFmtId="0" fontId="10" fillId="6" borderId="1" xfId="1" applyFont="1" applyFill="1" applyBorder="1"/>
    <xf numFmtId="0" fontId="11" fillId="6" borderId="6" xfId="1" applyFont="1" applyFill="1" applyBorder="1" applyAlignment="1">
      <alignment horizontal="left" vertical="center"/>
    </xf>
    <xf numFmtId="0" fontId="6" fillId="4" borderId="8" xfId="1" applyFont="1" applyFill="1" applyBorder="1" applyAlignment="1">
      <alignment horizontal="left" vertical="center"/>
    </xf>
    <xf numFmtId="0" fontId="6" fillId="4" borderId="0" xfId="1" applyFont="1" applyFill="1" applyAlignment="1">
      <alignment horizontal="left" vertical="center"/>
    </xf>
    <xf numFmtId="0" fontId="7" fillId="7" borderId="2" xfId="1" applyFont="1" applyFill="1" applyBorder="1" applyAlignment="1">
      <alignment horizontal="center" vertical="center"/>
    </xf>
    <xf numFmtId="0" fontId="4" fillId="7" borderId="6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4" fillId="7" borderId="4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3" fillId="7" borderId="4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left" vertical="center"/>
    </xf>
    <xf numFmtId="0" fontId="7" fillId="7" borderId="4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8" fillId="0" borderId="5" xfId="1" applyFont="1" applyBorder="1" applyAlignment="1">
      <alignment horizontal="left" vertical="center"/>
    </xf>
    <xf numFmtId="0" fontId="12" fillId="4" borderId="9" xfId="1" applyFont="1" applyFill="1" applyBorder="1" applyAlignment="1">
      <alignment horizontal="left" vertical="center"/>
    </xf>
    <xf numFmtId="0" fontId="12" fillId="4" borderId="10" xfId="1" applyFont="1" applyFill="1" applyBorder="1" applyAlignment="1">
      <alignment horizontal="left" vertical="center"/>
    </xf>
    <xf numFmtId="2" fontId="11" fillId="4" borderId="4" xfId="1" applyNumberFormat="1" applyFont="1" applyFill="1" applyBorder="1" applyAlignment="1">
      <alignment horizontal="center" vertical="center"/>
    </xf>
    <xf numFmtId="4" fontId="3" fillId="0" borderId="4" xfId="2" applyNumberFormat="1" applyFont="1" applyBorder="1" applyAlignment="1">
      <alignment horizontal="center" vertical="center"/>
    </xf>
    <xf numFmtId="4" fontId="3" fillId="3" borderId="4" xfId="2" applyNumberFormat="1" applyFont="1" applyFill="1" applyBorder="1" applyAlignment="1">
      <alignment horizontal="center" vertical="center"/>
    </xf>
    <xf numFmtId="4" fontId="3" fillId="0" borderId="4" xfId="2" applyNumberFormat="1" applyFont="1" applyFill="1" applyBorder="1" applyAlignment="1">
      <alignment horizontal="center" vertical="center"/>
    </xf>
    <xf numFmtId="4" fontId="13" fillId="6" borderId="4" xfId="2" applyNumberFormat="1" applyFont="1" applyFill="1" applyBorder="1" applyAlignment="1">
      <alignment horizontal="center" vertical="center"/>
    </xf>
    <xf numFmtId="4" fontId="11" fillId="6" borderId="4" xfId="2" applyNumberFormat="1" applyFont="1" applyFill="1" applyBorder="1" applyAlignment="1">
      <alignment horizontal="center" vertical="center"/>
    </xf>
    <xf numFmtId="4" fontId="4" fillId="0" borderId="4" xfId="2" applyNumberFormat="1" applyFont="1" applyBorder="1" applyAlignment="1">
      <alignment horizontal="center" vertical="center"/>
    </xf>
    <xf numFmtId="4" fontId="4" fillId="3" borderId="4" xfId="2" applyNumberFormat="1" applyFont="1" applyFill="1" applyBorder="1" applyAlignment="1">
      <alignment horizontal="center" vertical="center"/>
    </xf>
    <xf numFmtId="4" fontId="4" fillId="0" borderId="4" xfId="2" applyNumberFormat="1" applyFont="1" applyFill="1" applyBorder="1" applyAlignment="1">
      <alignment horizontal="center" vertical="center"/>
    </xf>
    <xf numFmtId="2" fontId="12" fillId="4" borderId="1" xfId="1" applyNumberFormat="1" applyFont="1" applyFill="1" applyBorder="1" applyAlignment="1">
      <alignment horizontal="left" vertical="center"/>
    </xf>
    <xf numFmtId="2" fontId="11" fillId="4" borderId="2" xfId="1" applyNumberFormat="1" applyFont="1" applyFill="1" applyBorder="1" applyAlignment="1">
      <alignment horizontal="center" vertical="center"/>
    </xf>
    <xf numFmtId="2" fontId="11" fillId="4" borderId="6" xfId="1" applyNumberFormat="1" applyFont="1" applyFill="1" applyBorder="1" applyAlignment="1">
      <alignment horizontal="center" vertical="center"/>
    </xf>
    <xf numFmtId="4" fontId="11" fillId="4" borderId="4" xfId="2" applyNumberFormat="1" applyFont="1" applyFill="1" applyBorder="1" applyAlignment="1">
      <alignment horizontal="center" vertical="center"/>
    </xf>
    <xf numFmtId="4" fontId="11" fillId="4" borderId="4" xfId="1" applyNumberFormat="1" applyFont="1" applyFill="1" applyBorder="1" applyAlignment="1">
      <alignment horizontal="center" vertical="center"/>
    </xf>
    <xf numFmtId="4" fontId="11" fillId="4" borderId="6" xfId="2" applyNumberFormat="1" applyFont="1" applyFill="1" applyBorder="1" applyAlignment="1">
      <alignment horizontal="center" vertical="center"/>
    </xf>
    <xf numFmtId="0" fontId="15" fillId="0" borderId="0" xfId="1" applyFont="1"/>
    <xf numFmtId="4" fontId="3" fillId="2" borderId="4" xfId="1" applyNumberFormat="1" applyFont="1" applyFill="1" applyBorder="1" applyAlignment="1">
      <alignment horizontal="center" vertical="center"/>
    </xf>
    <xf numFmtId="4" fontId="13" fillId="6" borderId="4" xfId="1" applyNumberFormat="1" applyFont="1" applyFill="1" applyBorder="1" applyAlignment="1">
      <alignment horizontal="center" vertical="center"/>
    </xf>
    <xf numFmtId="4" fontId="11" fillId="6" borderId="4" xfId="1" applyNumberFormat="1" applyFont="1" applyFill="1" applyBorder="1" applyAlignment="1">
      <alignment horizontal="center" vertical="center"/>
    </xf>
    <xf numFmtId="4" fontId="4" fillId="2" borderId="4" xfId="1" applyNumberFormat="1" applyFont="1" applyFill="1" applyBorder="1" applyAlignment="1">
      <alignment horizontal="center" vertical="center"/>
    </xf>
    <xf numFmtId="4" fontId="2" fillId="0" borderId="0" xfId="1" applyNumberFormat="1" applyFont="1"/>
    <xf numFmtId="4" fontId="3" fillId="0" borderId="4" xfId="1" applyNumberFormat="1" applyFont="1" applyBorder="1" applyAlignment="1">
      <alignment horizontal="center" vertical="center"/>
    </xf>
    <xf numFmtId="0" fontId="16" fillId="2" borderId="1" xfId="1" applyFont="1" applyFill="1" applyBorder="1"/>
    <xf numFmtId="0" fontId="16" fillId="0" borderId="1" xfId="1" applyFont="1" applyBorder="1"/>
  </cellXfs>
  <cellStyles count="3">
    <cellStyle name="Comma" xfId="2" builtinId="3"/>
    <cellStyle name="Normal" xfId="0" builtinId="0"/>
    <cellStyle name="Normal 2" xfId="1" xr:uid="{868A8D33-CCA1-4051-A92D-688930B660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3423-EF24-4C27-8283-F43839415004}">
  <sheetPr>
    <outlinePr summaryBelow="0" summaryRight="0"/>
    <pageSetUpPr fitToPage="1"/>
  </sheetPr>
  <dimension ref="A1:AS1023"/>
  <sheetViews>
    <sheetView tabSelected="1" topLeftCell="A16" zoomScale="63" workbookViewId="0">
      <pane xSplit="2" topLeftCell="C1" activePane="topRight" state="frozen"/>
      <selection pane="topRight" activeCell="AM22" sqref="AM22"/>
    </sheetView>
  </sheetViews>
  <sheetFormatPr defaultColWidth="14.453125" defaultRowHeight="15" customHeight="1" outlineLevelRow="1" outlineLevelCol="1" x14ac:dyDescent="0.35"/>
  <cols>
    <col min="1" max="1" width="7" style="2" customWidth="1"/>
    <col min="2" max="2" width="43" style="2" bestFit="1" customWidth="1"/>
    <col min="3" max="3" width="21.7265625" style="2" customWidth="1" collapsed="1"/>
    <col min="4" max="32" width="17.90625" style="2" hidden="1" customWidth="1" outlineLevel="1"/>
    <col min="33" max="34" width="17.90625" style="2" customWidth="1"/>
    <col min="35" max="36" width="16.6328125" style="2" customWidth="1"/>
    <col min="37" max="37" width="17.6328125" style="2" customWidth="1"/>
    <col min="38" max="16384" width="14.453125" style="2"/>
  </cols>
  <sheetData>
    <row r="1" spans="1:45" ht="18.5" x14ac:dyDescent="0.3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1"/>
      <c r="AM1" s="1"/>
      <c r="AN1" s="1"/>
      <c r="AO1" s="1"/>
      <c r="AP1" s="1"/>
      <c r="AQ1" s="1"/>
      <c r="AR1" s="1"/>
      <c r="AS1" s="1"/>
    </row>
    <row r="2" spans="1:45" ht="18.5" x14ac:dyDescent="0.35">
      <c r="A2" s="31" t="s">
        <v>71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1"/>
      <c r="AM2" s="1"/>
      <c r="AN2" s="1"/>
      <c r="AO2" s="1"/>
      <c r="AP2" s="1"/>
      <c r="AQ2" s="1"/>
      <c r="AR2" s="1"/>
      <c r="AS2" s="1"/>
    </row>
    <row r="3" spans="1:45" ht="31.5" customHeight="1" x14ac:dyDescent="0.35">
      <c r="A3" s="33" t="s">
        <v>30</v>
      </c>
      <c r="B3" s="34"/>
      <c r="C3" s="22" t="s">
        <v>2</v>
      </c>
      <c r="D3" s="23" t="s">
        <v>52</v>
      </c>
      <c r="E3" s="37" t="s">
        <v>3</v>
      </c>
      <c r="F3" s="40"/>
      <c r="G3" s="37" t="s">
        <v>4</v>
      </c>
      <c r="H3" s="37"/>
      <c r="I3" s="37" t="s">
        <v>5</v>
      </c>
      <c r="J3" s="37"/>
      <c r="K3" s="37" t="s">
        <v>6</v>
      </c>
      <c r="L3" s="37"/>
      <c r="M3" s="37" t="s">
        <v>7</v>
      </c>
      <c r="N3" s="37"/>
      <c r="O3" s="37" t="s">
        <v>8</v>
      </c>
      <c r="P3" s="37"/>
      <c r="Q3" s="37" t="s">
        <v>9</v>
      </c>
      <c r="R3" s="37"/>
      <c r="S3" s="37" t="s">
        <v>10</v>
      </c>
      <c r="T3" s="37"/>
      <c r="U3" s="37" t="s">
        <v>11</v>
      </c>
      <c r="V3" s="37"/>
      <c r="W3" s="42" t="s">
        <v>50</v>
      </c>
      <c r="X3" s="37"/>
      <c r="Y3" s="37" t="s">
        <v>12</v>
      </c>
      <c r="Z3" s="37"/>
      <c r="AA3" s="37" t="s">
        <v>13</v>
      </c>
      <c r="AB3" s="37"/>
      <c r="AC3" s="37" t="s">
        <v>14</v>
      </c>
      <c r="AD3" s="37"/>
      <c r="AE3" s="44" t="s">
        <v>51</v>
      </c>
      <c r="AF3" s="34"/>
      <c r="AG3" s="37" t="s">
        <v>53</v>
      </c>
      <c r="AH3" s="37"/>
      <c r="AI3" s="33" t="s">
        <v>54</v>
      </c>
      <c r="AJ3" s="34"/>
      <c r="AK3" s="24" t="s">
        <v>49</v>
      </c>
      <c r="AL3" s="1"/>
      <c r="AM3" s="1"/>
      <c r="AN3" s="1"/>
      <c r="AO3" s="1"/>
      <c r="AP3" s="1"/>
      <c r="AQ3" s="1"/>
      <c r="AR3" s="1"/>
      <c r="AS3" s="1"/>
    </row>
    <row r="4" spans="1:45" ht="17.5" customHeight="1" x14ac:dyDescent="0.35">
      <c r="A4" s="20" t="s">
        <v>0</v>
      </c>
      <c r="B4" s="21" t="s">
        <v>1</v>
      </c>
      <c r="C4" s="20"/>
      <c r="D4" s="20" t="s">
        <v>48</v>
      </c>
      <c r="E4" s="20" t="s">
        <v>15</v>
      </c>
      <c r="F4" s="20" t="s">
        <v>16</v>
      </c>
      <c r="G4" s="20" t="s">
        <v>17</v>
      </c>
      <c r="H4" s="20" t="s">
        <v>29</v>
      </c>
      <c r="I4" s="20" t="s">
        <v>17</v>
      </c>
      <c r="J4" s="20" t="s">
        <v>29</v>
      </c>
      <c r="K4" s="20" t="s">
        <v>17</v>
      </c>
      <c r="L4" s="20" t="s">
        <v>29</v>
      </c>
      <c r="M4" s="20" t="s">
        <v>17</v>
      </c>
      <c r="N4" s="20" t="s">
        <v>29</v>
      </c>
      <c r="O4" s="20" t="s">
        <v>17</v>
      </c>
      <c r="P4" s="20" t="s">
        <v>29</v>
      </c>
      <c r="Q4" s="20" t="s">
        <v>17</v>
      </c>
      <c r="R4" s="20" t="s">
        <v>29</v>
      </c>
      <c r="S4" s="20" t="s">
        <v>17</v>
      </c>
      <c r="T4" s="20" t="s">
        <v>29</v>
      </c>
      <c r="U4" s="20" t="s">
        <v>17</v>
      </c>
      <c r="V4" s="20" t="s">
        <v>29</v>
      </c>
      <c r="W4" s="20" t="s">
        <v>17</v>
      </c>
      <c r="X4" s="20" t="s">
        <v>29</v>
      </c>
      <c r="Y4" s="20" t="s">
        <v>17</v>
      </c>
      <c r="Z4" s="20" t="s">
        <v>29</v>
      </c>
      <c r="AA4" s="20" t="s">
        <v>17</v>
      </c>
      <c r="AB4" s="20" t="s">
        <v>29</v>
      </c>
      <c r="AC4" s="20" t="s">
        <v>17</v>
      </c>
      <c r="AD4" s="20" t="s">
        <v>29</v>
      </c>
      <c r="AE4" s="20" t="s">
        <v>17</v>
      </c>
      <c r="AF4" s="20" t="s">
        <v>29</v>
      </c>
      <c r="AG4" s="20" t="s">
        <v>17</v>
      </c>
      <c r="AH4" s="20" t="s">
        <v>29</v>
      </c>
      <c r="AI4" s="20" t="s">
        <v>55</v>
      </c>
      <c r="AJ4" s="20" t="s">
        <v>56</v>
      </c>
      <c r="AK4" s="20" t="s">
        <v>56</v>
      </c>
      <c r="AL4" s="1"/>
      <c r="AM4" s="1"/>
      <c r="AN4" s="1"/>
      <c r="AO4" s="1"/>
      <c r="AP4" s="1"/>
      <c r="AQ4" s="1"/>
      <c r="AR4" s="1"/>
      <c r="AS4" s="1"/>
    </row>
    <row r="5" spans="1:45" ht="17.5" customHeight="1" x14ac:dyDescent="0.35">
      <c r="A5" s="3">
        <v>1</v>
      </c>
      <c r="B5" s="10" t="s">
        <v>36</v>
      </c>
      <c r="C5" s="7"/>
      <c r="D5" s="3"/>
      <c r="E5" s="11"/>
      <c r="F5" s="11"/>
      <c r="G5" s="3"/>
      <c r="H5" s="3"/>
      <c r="I5" s="11"/>
      <c r="J5" s="11"/>
      <c r="K5" s="3"/>
      <c r="L5" s="3"/>
      <c r="M5" s="11"/>
      <c r="N5" s="11"/>
      <c r="O5" s="3"/>
      <c r="P5" s="3"/>
      <c r="Q5" s="11"/>
      <c r="R5" s="11"/>
      <c r="S5" s="3"/>
      <c r="T5" s="3"/>
      <c r="U5" s="11"/>
      <c r="V5" s="11"/>
      <c r="W5" s="3"/>
      <c r="X5" s="3"/>
      <c r="Y5" s="11"/>
      <c r="Z5" s="11"/>
      <c r="AA5" s="3"/>
      <c r="AB5" s="3"/>
      <c r="AC5" s="11"/>
      <c r="AD5" s="11"/>
      <c r="AE5" s="43"/>
      <c r="AF5" s="43"/>
      <c r="AG5" s="3"/>
      <c r="AH5" s="3"/>
      <c r="AI5" s="3"/>
      <c r="AJ5" s="3"/>
      <c r="AK5" s="3"/>
      <c r="AL5" s="1"/>
      <c r="AM5" s="1"/>
      <c r="AN5" s="1"/>
      <c r="AO5" s="1"/>
      <c r="AP5" s="1"/>
      <c r="AQ5" s="1"/>
      <c r="AR5" s="1"/>
      <c r="AS5" s="1"/>
    </row>
    <row r="6" spans="1:45" ht="17.5" customHeight="1" x14ac:dyDescent="0.35">
      <c r="A6" s="6" t="s">
        <v>26</v>
      </c>
      <c r="B6" s="9" t="s">
        <v>18</v>
      </c>
      <c r="C6" s="65">
        <v>200000000</v>
      </c>
      <c r="D6" s="50">
        <v>27387470</v>
      </c>
      <c r="E6" s="51">
        <v>0</v>
      </c>
      <c r="F6" s="51">
        <v>0</v>
      </c>
      <c r="G6" s="50">
        <v>0</v>
      </c>
      <c r="H6" s="50">
        <v>0</v>
      </c>
      <c r="I6" s="51">
        <v>159779023</v>
      </c>
      <c r="J6" s="51">
        <v>4023</v>
      </c>
      <c r="K6" s="50">
        <v>149926</v>
      </c>
      <c r="L6" s="50">
        <v>149926</v>
      </c>
      <c r="M6" s="51">
        <v>0</v>
      </c>
      <c r="N6" s="51">
        <v>0</v>
      </c>
      <c r="O6" s="50">
        <v>0</v>
      </c>
      <c r="P6" s="50">
        <v>0</v>
      </c>
      <c r="Q6" s="51">
        <v>1359731</v>
      </c>
      <c r="R6" s="51">
        <v>1359731</v>
      </c>
      <c r="S6" s="50">
        <v>1204904</v>
      </c>
      <c r="T6" s="50">
        <v>1204904</v>
      </c>
      <c r="U6" s="51">
        <v>153656</v>
      </c>
      <c r="V6" s="51">
        <v>9006</v>
      </c>
      <c r="W6" s="50">
        <v>113746</v>
      </c>
      <c r="X6" s="50">
        <v>0</v>
      </c>
      <c r="Y6" s="51">
        <v>0</v>
      </c>
      <c r="Z6" s="51">
        <v>0</v>
      </c>
      <c r="AA6" s="50">
        <v>400000</v>
      </c>
      <c r="AB6" s="50">
        <v>0</v>
      </c>
      <c r="AC6" s="51">
        <v>43702</v>
      </c>
      <c r="AD6" s="51">
        <v>43702</v>
      </c>
      <c r="AE6" s="52">
        <v>0</v>
      </c>
      <c r="AF6" s="52">
        <v>0</v>
      </c>
      <c r="AG6" s="50">
        <f>SUM(AE6,AC6,AA6,Y6,W6,U6,S6,Q6,O6,M6,K6,I6,G6,E6)</f>
        <v>163204688</v>
      </c>
      <c r="AH6" s="50">
        <f>SUM(AF6,AD6,AB6,Z6,X6,V6,T6,R6,P6,N6,L6,J6,H6,F6)</f>
        <v>2771292</v>
      </c>
      <c r="AI6" s="50">
        <f>AH6+D6</f>
        <v>30158762</v>
      </c>
      <c r="AJ6" s="50">
        <f>AI6/10000000</f>
        <v>3.0158762000000001</v>
      </c>
      <c r="AK6" s="8">
        <f>(C6-AI6)/10000000</f>
        <v>16.984123799999999</v>
      </c>
      <c r="AL6" s="1"/>
      <c r="AM6" s="1"/>
      <c r="AN6" s="1"/>
      <c r="AO6" s="1"/>
      <c r="AP6" s="1"/>
      <c r="AQ6" s="1"/>
      <c r="AR6" s="1"/>
      <c r="AS6" s="1"/>
    </row>
    <row r="7" spans="1:45" ht="17.5" customHeight="1" x14ac:dyDescent="0.35">
      <c r="A7" s="6" t="s">
        <v>27</v>
      </c>
      <c r="B7" s="9" t="s">
        <v>19</v>
      </c>
      <c r="C7" s="65">
        <v>250000000</v>
      </c>
      <c r="D7" s="50">
        <v>55491600</v>
      </c>
      <c r="E7" s="51">
        <v>22205496</v>
      </c>
      <c r="F7" s="51">
        <v>8898257</v>
      </c>
      <c r="G7" s="50">
        <v>10842350</v>
      </c>
      <c r="H7" s="50">
        <v>9860772</v>
      </c>
      <c r="I7" s="51">
        <v>30642042</v>
      </c>
      <c r="J7" s="51">
        <v>30493926</v>
      </c>
      <c r="K7" s="50">
        <v>8265950</v>
      </c>
      <c r="L7" s="50">
        <v>3947852</v>
      </c>
      <c r="M7" s="51">
        <v>2180112</v>
      </c>
      <c r="N7" s="51">
        <v>2180112</v>
      </c>
      <c r="O7" s="50">
        <v>3679354</v>
      </c>
      <c r="P7" s="50">
        <v>1206780</v>
      </c>
      <c r="Q7" s="51">
        <v>1932300</v>
      </c>
      <c r="R7" s="51">
        <v>1932300</v>
      </c>
      <c r="S7" s="50">
        <v>2898450</v>
      </c>
      <c r="T7" s="50">
        <v>2898450</v>
      </c>
      <c r="U7" s="51">
        <v>10580745</v>
      </c>
      <c r="V7" s="51">
        <v>8409837</v>
      </c>
      <c r="W7" s="50">
        <v>3749060</v>
      </c>
      <c r="X7" s="50">
        <v>3216117</v>
      </c>
      <c r="Y7" s="51">
        <v>16122546</v>
      </c>
      <c r="Z7" s="51">
        <v>16122546</v>
      </c>
      <c r="AA7" s="50">
        <v>101305247</v>
      </c>
      <c r="AB7" s="50">
        <v>59006497</v>
      </c>
      <c r="AC7" s="51">
        <v>15414146</v>
      </c>
      <c r="AD7" s="51">
        <v>14340646</v>
      </c>
      <c r="AE7" s="52">
        <v>0</v>
      </c>
      <c r="AF7" s="52"/>
      <c r="AG7" s="50">
        <f t="shared" ref="AG7:AG16" si="0">SUM(AE7,AC7,AA7,Y7,W7,U7,S7,Q7,O7,M7,K7,I7,G7,E7)</f>
        <v>229817798</v>
      </c>
      <c r="AH7" s="50">
        <f t="shared" ref="AH7:AH16" si="1">SUM(AF7,AD7,AB7,Z7,X7,V7,T7,R7,P7,N7,L7,J7,H7,F7)</f>
        <v>162514092</v>
      </c>
      <c r="AI7" s="50">
        <f>AH7+D7</f>
        <v>218005692</v>
      </c>
      <c r="AJ7" s="50">
        <f t="shared" ref="AJ7:AJ16" si="2">AI7/10000000</f>
        <v>21.800569200000002</v>
      </c>
      <c r="AK7" s="8">
        <f t="shared" ref="AK7:AK16" si="3">(C7-AI7)/10000000</f>
        <v>3.1994308</v>
      </c>
      <c r="AL7" s="1"/>
      <c r="AM7" s="1"/>
      <c r="AN7" s="1"/>
      <c r="AO7" s="1"/>
      <c r="AP7" s="1"/>
      <c r="AQ7" s="1"/>
      <c r="AR7" s="1"/>
      <c r="AS7" s="1"/>
    </row>
    <row r="8" spans="1:45" ht="17.5" customHeight="1" x14ac:dyDescent="0.35">
      <c r="A8" s="6" t="s">
        <v>37</v>
      </c>
      <c r="B8" s="9" t="s">
        <v>38</v>
      </c>
      <c r="C8" s="65">
        <v>0</v>
      </c>
      <c r="D8" s="50">
        <v>0</v>
      </c>
      <c r="E8" s="51">
        <v>0</v>
      </c>
      <c r="F8" s="51">
        <v>0</v>
      </c>
      <c r="G8" s="50">
        <v>0</v>
      </c>
      <c r="H8" s="50">
        <v>0</v>
      </c>
      <c r="I8" s="51">
        <v>0</v>
      </c>
      <c r="J8" s="51">
        <v>0</v>
      </c>
      <c r="K8" s="50">
        <v>0</v>
      </c>
      <c r="L8" s="50">
        <v>0</v>
      </c>
      <c r="M8" s="51">
        <v>0</v>
      </c>
      <c r="N8" s="51">
        <v>0</v>
      </c>
      <c r="O8" s="50">
        <v>0</v>
      </c>
      <c r="P8" s="50">
        <v>0</v>
      </c>
      <c r="Q8" s="51">
        <v>0</v>
      </c>
      <c r="R8" s="51">
        <v>0</v>
      </c>
      <c r="S8" s="50"/>
      <c r="T8" s="50"/>
      <c r="U8" s="51"/>
      <c r="V8" s="51"/>
      <c r="W8" s="50"/>
      <c r="X8" s="50"/>
      <c r="Y8" s="51"/>
      <c r="Z8" s="51"/>
      <c r="AA8" s="50"/>
      <c r="AB8" s="50"/>
      <c r="AC8" s="51"/>
      <c r="AD8" s="51"/>
      <c r="AE8" s="52"/>
      <c r="AF8" s="52"/>
      <c r="AG8" s="50">
        <f t="shared" si="0"/>
        <v>0</v>
      </c>
      <c r="AH8" s="50">
        <f t="shared" si="1"/>
        <v>0</v>
      </c>
      <c r="AI8" s="50">
        <f>AH8+D8</f>
        <v>0</v>
      </c>
      <c r="AJ8" s="50">
        <f t="shared" si="2"/>
        <v>0</v>
      </c>
      <c r="AK8" s="8">
        <f t="shared" si="3"/>
        <v>0</v>
      </c>
      <c r="AL8" s="1"/>
      <c r="AM8" s="1"/>
      <c r="AN8" s="1"/>
      <c r="AO8" s="1"/>
      <c r="AP8" s="1"/>
      <c r="AQ8" s="1"/>
      <c r="AR8" s="1"/>
      <c r="AS8" s="1"/>
    </row>
    <row r="9" spans="1:45" ht="17.5" customHeight="1" x14ac:dyDescent="0.35">
      <c r="A9" s="3">
        <v>2</v>
      </c>
      <c r="B9" s="12" t="s">
        <v>39</v>
      </c>
      <c r="C9" s="65"/>
      <c r="D9" s="50"/>
      <c r="E9" s="51"/>
      <c r="F9" s="51"/>
      <c r="G9" s="50"/>
      <c r="H9" s="50"/>
      <c r="I9" s="51"/>
      <c r="J9" s="51"/>
      <c r="K9" s="50"/>
      <c r="L9" s="50"/>
      <c r="M9" s="51"/>
      <c r="N9" s="51"/>
      <c r="O9" s="50"/>
      <c r="P9" s="50"/>
      <c r="Q9" s="51"/>
      <c r="R9" s="51"/>
      <c r="S9" s="50"/>
      <c r="T9" s="50"/>
      <c r="U9" s="51"/>
      <c r="V9" s="51"/>
      <c r="W9" s="50"/>
      <c r="X9" s="50"/>
      <c r="Y9" s="51"/>
      <c r="Z9" s="51"/>
      <c r="AA9" s="50"/>
      <c r="AB9" s="50"/>
      <c r="AC9" s="51"/>
      <c r="AD9" s="51"/>
      <c r="AE9" s="52"/>
      <c r="AF9" s="52"/>
      <c r="AG9" s="50"/>
      <c r="AH9" s="50"/>
      <c r="AI9" s="50"/>
      <c r="AJ9" s="50"/>
      <c r="AK9" s="8"/>
      <c r="AL9" s="1"/>
      <c r="AM9" s="1"/>
      <c r="AN9" s="1"/>
      <c r="AO9" s="1"/>
      <c r="AP9" s="1"/>
      <c r="AQ9" s="1"/>
      <c r="AR9" s="1"/>
      <c r="AS9" s="1"/>
    </row>
    <row r="10" spans="1:45" ht="17.5" customHeight="1" x14ac:dyDescent="0.35">
      <c r="A10" s="6" t="s">
        <v>26</v>
      </c>
      <c r="B10" s="9" t="s">
        <v>20</v>
      </c>
      <c r="C10" s="65">
        <v>291300000</v>
      </c>
      <c r="D10" s="50">
        <v>18497316</v>
      </c>
      <c r="E10" s="51">
        <v>0</v>
      </c>
      <c r="F10" s="51">
        <v>0</v>
      </c>
      <c r="G10" s="50">
        <v>0</v>
      </c>
      <c r="H10" s="50">
        <v>0</v>
      </c>
      <c r="I10" s="51">
        <v>13726428</v>
      </c>
      <c r="J10" s="51">
        <v>13726428</v>
      </c>
      <c r="K10" s="50">
        <v>9525664</v>
      </c>
      <c r="L10" s="50">
        <v>9525664</v>
      </c>
      <c r="M10" s="51">
        <v>30049555</v>
      </c>
      <c r="N10" s="51">
        <v>21874555</v>
      </c>
      <c r="O10" s="50">
        <v>23151771</v>
      </c>
      <c r="P10" s="50">
        <v>19240898</v>
      </c>
      <c r="Q10" s="51">
        <v>41990469</v>
      </c>
      <c r="R10" s="51">
        <v>41990469</v>
      </c>
      <c r="S10" s="50">
        <v>23379214</v>
      </c>
      <c r="T10" s="50">
        <v>23379214</v>
      </c>
      <c r="U10" s="51">
        <v>24209955</v>
      </c>
      <c r="V10" s="51">
        <v>21794955</v>
      </c>
      <c r="W10" s="50">
        <v>8400000</v>
      </c>
      <c r="X10" s="50">
        <v>8400000</v>
      </c>
      <c r="Y10" s="51">
        <v>12696377</v>
      </c>
      <c r="Z10" s="51">
        <v>12696377</v>
      </c>
      <c r="AA10" s="50">
        <v>12594862</v>
      </c>
      <c r="AB10" s="50">
        <v>8514862</v>
      </c>
      <c r="AC10" s="51">
        <v>25785206</v>
      </c>
      <c r="AD10" s="51">
        <v>24599372</v>
      </c>
      <c r="AE10" s="52"/>
      <c r="AF10" s="52"/>
      <c r="AG10" s="50">
        <f t="shared" si="0"/>
        <v>225509501</v>
      </c>
      <c r="AH10" s="50">
        <f t="shared" si="1"/>
        <v>205742794</v>
      </c>
      <c r="AI10" s="50">
        <f>AH10+D10</f>
        <v>224240110</v>
      </c>
      <c r="AJ10" s="50">
        <f t="shared" si="2"/>
        <v>22.424011</v>
      </c>
      <c r="AK10" s="8">
        <f t="shared" si="3"/>
        <v>6.7059889999999998</v>
      </c>
      <c r="AL10" s="1"/>
      <c r="AM10" s="1"/>
      <c r="AN10" s="1"/>
      <c r="AO10" s="1"/>
      <c r="AP10" s="1"/>
      <c r="AQ10" s="1"/>
      <c r="AR10" s="1"/>
      <c r="AS10" s="1"/>
    </row>
    <row r="11" spans="1:45" ht="17.5" customHeight="1" x14ac:dyDescent="0.35">
      <c r="A11" s="16">
        <v>3</v>
      </c>
      <c r="B11" s="12" t="s">
        <v>21</v>
      </c>
      <c r="C11" s="65">
        <v>95000000</v>
      </c>
      <c r="D11" s="50">
        <v>24035481</v>
      </c>
      <c r="E11" s="51">
        <v>0</v>
      </c>
      <c r="F11" s="51">
        <v>0</v>
      </c>
      <c r="G11" s="50">
        <v>3000000</v>
      </c>
      <c r="H11" s="50">
        <v>264066</v>
      </c>
      <c r="I11" s="51">
        <v>5000000</v>
      </c>
      <c r="J11" s="51">
        <v>2366258</v>
      </c>
      <c r="K11" s="50">
        <v>3000000</v>
      </c>
      <c r="L11" s="50">
        <v>1362118</v>
      </c>
      <c r="M11" s="51">
        <v>3000000</v>
      </c>
      <c r="N11" s="51">
        <v>2076196</v>
      </c>
      <c r="O11" s="50">
        <v>7500000</v>
      </c>
      <c r="P11" s="50">
        <v>7470661</v>
      </c>
      <c r="Q11" s="51">
        <v>3000000</v>
      </c>
      <c r="R11" s="51">
        <v>2567192</v>
      </c>
      <c r="S11" s="50">
        <v>3000000</v>
      </c>
      <c r="T11" s="50">
        <v>1141723</v>
      </c>
      <c r="U11" s="51">
        <v>5000000</v>
      </c>
      <c r="V11" s="51">
        <v>4360245</v>
      </c>
      <c r="W11" s="50">
        <v>5000000</v>
      </c>
      <c r="X11" s="50">
        <v>4606350</v>
      </c>
      <c r="Y11" s="51">
        <v>5000000</v>
      </c>
      <c r="Z11" s="51">
        <v>1767122</v>
      </c>
      <c r="AA11" s="50">
        <v>5176168</v>
      </c>
      <c r="AB11" s="50">
        <v>2211062</v>
      </c>
      <c r="AC11" s="51">
        <v>3000000</v>
      </c>
      <c r="AD11" s="51">
        <v>2903889</v>
      </c>
      <c r="AE11" s="52"/>
      <c r="AF11" s="52"/>
      <c r="AG11" s="50">
        <f t="shared" si="0"/>
        <v>50676168</v>
      </c>
      <c r="AH11" s="50">
        <f t="shared" si="1"/>
        <v>33096882</v>
      </c>
      <c r="AI11" s="50">
        <f>AH11+D11</f>
        <v>57132363</v>
      </c>
      <c r="AJ11" s="50">
        <f t="shared" si="2"/>
        <v>5.7132363000000002</v>
      </c>
      <c r="AK11" s="8">
        <f t="shared" si="3"/>
        <v>3.7867636999999998</v>
      </c>
      <c r="AL11" s="1"/>
      <c r="AM11" s="1"/>
      <c r="AN11" s="1"/>
      <c r="AO11" s="1"/>
      <c r="AP11" s="1"/>
      <c r="AQ11" s="1"/>
      <c r="AR11" s="1"/>
      <c r="AS11" s="1"/>
    </row>
    <row r="12" spans="1:45" ht="17.5" customHeight="1" x14ac:dyDescent="0.35">
      <c r="A12" s="16">
        <v>4</v>
      </c>
      <c r="B12" s="12" t="s">
        <v>41</v>
      </c>
      <c r="C12" s="65"/>
      <c r="D12" s="50"/>
      <c r="E12" s="51"/>
      <c r="F12" s="51"/>
      <c r="G12" s="50"/>
      <c r="H12" s="50"/>
      <c r="I12" s="51"/>
      <c r="J12" s="51"/>
      <c r="K12" s="50"/>
      <c r="L12" s="50"/>
      <c r="M12" s="51"/>
      <c r="N12" s="51"/>
      <c r="O12" s="50"/>
      <c r="P12" s="50"/>
      <c r="Q12" s="51"/>
      <c r="R12" s="51"/>
      <c r="S12" s="50"/>
      <c r="T12" s="50"/>
      <c r="U12" s="51"/>
      <c r="V12" s="51"/>
      <c r="W12" s="50"/>
      <c r="X12" s="50"/>
      <c r="Y12" s="51"/>
      <c r="Z12" s="51"/>
      <c r="AA12" s="50"/>
      <c r="AB12" s="50"/>
      <c r="AC12" s="51"/>
      <c r="AD12" s="51"/>
      <c r="AE12" s="52"/>
      <c r="AF12" s="52"/>
      <c r="AG12" s="50"/>
      <c r="AH12" s="50"/>
      <c r="AI12" s="50"/>
      <c r="AJ12" s="50"/>
      <c r="AK12" s="8"/>
      <c r="AL12" s="1"/>
      <c r="AM12" s="69"/>
      <c r="AN12" s="1"/>
      <c r="AO12" s="1"/>
      <c r="AP12" s="1"/>
      <c r="AQ12" s="1"/>
      <c r="AR12" s="1"/>
      <c r="AS12" s="1"/>
    </row>
    <row r="13" spans="1:45" ht="17.5" customHeight="1" x14ac:dyDescent="0.35">
      <c r="A13" s="6" t="s">
        <v>26</v>
      </c>
      <c r="B13" s="9" t="s">
        <v>22</v>
      </c>
      <c r="C13" s="65">
        <v>21700000</v>
      </c>
      <c r="D13" s="50">
        <v>3198018</v>
      </c>
      <c r="E13" s="51">
        <v>0</v>
      </c>
      <c r="F13" s="51">
        <v>0</v>
      </c>
      <c r="G13" s="50">
        <v>0</v>
      </c>
      <c r="H13" s="50">
        <v>0</v>
      </c>
      <c r="I13" s="51">
        <v>0</v>
      </c>
      <c r="J13" s="51">
        <v>0</v>
      </c>
      <c r="K13" s="50">
        <v>1275000</v>
      </c>
      <c r="L13" s="50">
        <v>1275000</v>
      </c>
      <c r="M13" s="51">
        <v>0</v>
      </c>
      <c r="N13" s="51">
        <v>0</v>
      </c>
      <c r="O13" s="50">
        <v>0</v>
      </c>
      <c r="P13" s="50">
        <v>0</v>
      </c>
      <c r="Q13" s="51">
        <v>13340</v>
      </c>
      <c r="R13" s="51">
        <v>13340</v>
      </c>
      <c r="S13" s="50">
        <v>20850000</v>
      </c>
      <c r="T13" s="50">
        <v>4425000</v>
      </c>
      <c r="U13" s="51">
        <v>3712500</v>
      </c>
      <c r="V13" s="51">
        <v>3712500</v>
      </c>
      <c r="W13" s="50"/>
      <c r="X13" s="50"/>
      <c r="Y13" s="51"/>
      <c r="Z13" s="51"/>
      <c r="AA13" s="50"/>
      <c r="AB13" s="50"/>
      <c r="AC13" s="51"/>
      <c r="AD13" s="51"/>
      <c r="AE13" s="52"/>
      <c r="AF13" s="52"/>
      <c r="AG13" s="50">
        <f t="shared" si="0"/>
        <v>25850840</v>
      </c>
      <c r="AH13" s="50">
        <f t="shared" si="1"/>
        <v>9425840</v>
      </c>
      <c r="AI13" s="50">
        <f>AH13+D13</f>
        <v>12623858</v>
      </c>
      <c r="AJ13" s="50">
        <f t="shared" si="2"/>
        <v>1.2623857999999999</v>
      </c>
      <c r="AK13" s="8">
        <f t="shared" si="3"/>
        <v>0.90761420000000004</v>
      </c>
      <c r="AL13" s="1"/>
      <c r="AM13" s="69"/>
      <c r="AN13" s="1"/>
      <c r="AO13" s="1"/>
      <c r="AP13" s="1"/>
      <c r="AQ13" s="1"/>
      <c r="AR13" s="1"/>
      <c r="AS13" s="1"/>
    </row>
    <row r="14" spans="1:45" ht="17.5" customHeight="1" x14ac:dyDescent="0.35">
      <c r="A14" s="6" t="s">
        <v>27</v>
      </c>
      <c r="B14" s="9" t="s">
        <v>23</v>
      </c>
      <c r="C14" s="65">
        <v>2100000</v>
      </c>
      <c r="D14" s="50">
        <v>0</v>
      </c>
      <c r="E14" s="51">
        <v>0</v>
      </c>
      <c r="F14" s="51">
        <v>0</v>
      </c>
      <c r="G14" s="50">
        <v>0</v>
      </c>
      <c r="H14" s="50">
        <v>0</v>
      </c>
      <c r="I14" s="51">
        <v>0</v>
      </c>
      <c r="J14" s="51">
        <v>0</v>
      </c>
      <c r="K14" s="50">
        <v>0</v>
      </c>
      <c r="L14" s="50">
        <v>0</v>
      </c>
      <c r="M14" s="51">
        <v>0</v>
      </c>
      <c r="N14" s="51">
        <v>0</v>
      </c>
      <c r="O14" s="50">
        <v>0</v>
      </c>
      <c r="P14" s="50">
        <v>0</v>
      </c>
      <c r="Q14" s="51">
        <v>0</v>
      </c>
      <c r="R14" s="51">
        <v>0</v>
      </c>
      <c r="S14" s="50">
        <v>0</v>
      </c>
      <c r="T14" s="50">
        <v>0</v>
      </c>
      <c r="U14" s="51"/>
      <c r="V14" s="51"/>
      <c r="W14" s="50"/>
      <c r="X14" s="50"/>
      <c r="Y14" s="51"/>
      <c r="Z14" s="51"/>
      <c r="AA14" s="50"/>
      <c r="AB14" s="50"/>
      <c r="AC14" s="51"/>
      <c r="AD14" s="51"/>
      <c r="AE14" s="52"/>
      <c r="AF14" s="52"/>
      <c r="AG14" s="50">
        <f t="shared" si="0"/>
        <v>0</v>
      </c>
      <c r="AH14" s="50">
        <f t="shared" si="1"/>
        <v>0</v>
      </c>
      <c r="AI14" s="50">
        <f>AH14+D14</f>
        <v>0</v>
      </c>
      <c r="AJ14" s="50">
        <f t="shared" si="2"/>
        <v>0</v>
      </c>
      <c r="AK14" s="8">
        <f t="shared" si="3"/>
        <v>0.21</v>
      </c>
      <c r="AL14" s="1"/>
      <c r="AM14" s="1"/>
      <c r="AN14" s="1"/>
      <c r="AO14" s="1"/>
      <c r="AP14" s="1"/>
      <c r="AQ14" s="1"/>
      <c r="AR14" s="1"/>
      <c r="AS14" s="1"/>
    </row>
    <row r="15" spans="1:45" ht="17.5" customHeight="1" x14ac:dyDescent="0.35">
      <c r="A15" s="6" t="s">
        <v>37</v>
      </c>
      <c r="B15" s="9" t="s">
        <v>42</v>
      </c>
      <c r="C15" s="65">
        <v>0</v>
      </c>
      <c r="D15" s="50">
        <v>0</v>
      </c>
      <c r="E15" s="51">
        <v>0</v>
      </c>
      <c r="F15" s="51">
        <v>0</v>
      </c>
      <c r="G15" s="50">
        <v>0</v>
      </c>
      <c r="H15" s="50">
        <v>0</v>
      </c>
      <c r="I15" s="51">
        <v>0</v>
      </c>
      <c r="J15" s="51">
        <v>0</v>
      </c>
      <c r="K15" s="50">
        <v>0</v>
      </c>
      <c r="L15" s="50">
        <v>0</v>
      </c>
      <c r="M15" s="51">
        <v>0</v>
      </c>
      <c r="N15" s="51">
        <v>0</v>
      </c>
      <c r="O15" s="50">
        <v>0</v>
      </c>
      <c r="P15" s="50">
        <v>0</v>
      </c>
      <c r="Q15" s="51">
        <v>0</v>
      </c>
      <c r="R15" s="51">
        <v>0</v>
      </c>
      <c r="S15" s="50">
        <v>0</v>
      </c>
      <c r="T15" s="50">
        <v>0</v>
      </c>
      <c r="U15" s="51"/>
      <c r="V15" s="51"/>
      <c r="W15" s="50"/>
      <c r="X15" s="50"/>
      <c r="Y15" s="51"/>
      <c r="Z15" s="51"/>
      <c r="AA15" s="50"/>
      <c r="AB15" s="50"/>
      <c r="AC15" s="51"/>
      <c r="AD15" s="51"/>
      <c r="AE15" s="52"/>
      <c r="AF15" s="52"/>
      <c r="AG15" s="50">
        <f t="shared" si="0"/>
        <v>0</v>
      </c>
      <c r="AH15" s="50">
        <f t="shared" si="1"/>
        <v>0</v>
      </c>
      <c r="AI15" s="50">
        <f>AH15+D15</f>
        <v>0</v>
      </c>
      <c r="AJ15" s="50">
        <f t="shared" si="2"/>
        <v>0</v>
      </c>
      <c r="AK15" s="8">
        <f t="shared" si="3"/>
        <v>0</v>
      </c>
      <c r="AL15" s="1"/>
      <c r="AM15" s="1"/>
      <c r="AN15" s="1"/>
      <c r="AO15" s="1"/>
      <c r="AP15" s="1"/>
      <c r="AQ15" s="1"/>
      <c r="AR15" s="1"/>
      <c r="AS15" s="1"/>
    </row>
    <row r="16" spans="1:45" ht="17.5" customHeight="1" x14ac:dyDescent="0.35">
      <c r="A16" s="6" t="s">
        <v>43</v>
      </c>
      <c r="B16" s="9" t="s">
        <v>24</v>
      </c>
      <c r="C16" s="65">
        <v>103300000</v>
      </c>
      <c r="D16" s="50">
        <v>55842210</v>
      </c>
      <c r="E16" s="51">
        <v>0</v>
      </c>
      <c r="F16" s="51">
        <v>0</v>
      </c>
      <c r="G16" s="50">
        <v>0</v>
      </c>
      <c r="H16" s="50">
        <v>0</v>
      </c>
      <c r="I16" s="51">
        <v>3628000</v>
      </c>
      <c r="J16" s="51">
        <v>919000</v>
      </c>
      <c r="K16" s="50">
        <v>4776000</v>
      </c>
      <c r="L16" s="50">
        <v>0</v>
      </c>
      <c r="M16" s="51">
        <v>2549000</v>
      </c>
      <c r="N16" s="51">
        <v>0</v>
      </c>
      <c r="O16" s="50">
        <v>5606000</v>
      </c>
      <c r="P16" s="50">
        <v>606000</v>
      </c>
      <c r="Q16" s="51">
        <v>3357000</v>
      </c>
      <c r="R16" s="51">
        <v>703000</v>
      </c>
      <c r="S16" s="50">
        <v>322000</v>
      </c>
      <c r="T16" s="50">
        <v>322000</v>
      </c>
      <c r="U16" s="51">
        <v>5867000</v>
      </c>
      <c r="V16" s="51">
        <v>0</v>
      </c>
      <c r="W16" s="50">
        <v>3515000</v>
      </c>
      <c r="X16" s="50">
        <v>601000</v>
      </c>
      <c r="Y16" s="51">
        <v>2261000</v>
      </c>
      <c r="Z16" s="51">
        <v>0</v>
      </c>
      <c r="AA16" s="50">
        <v>4567000</v>
      </c>
      <c r="AB16" s="50">
        <v>0</v>
      </c>
      <c r="AC16" s="51">
        <v>6102000</v>
      </c>
      <c r="AD16" s="51">
        <v>0</v>
      </c>
      <c r="AE16" s="52"/>
      <c r="AF16" s="52"/>
      <c r="AG16" s="50">
        <f t="shared" si="0"/>
        <v>42550000</v>
      </c>
      <c r="AH16" s="50">
        <f t="shared" si="1"/>
        <v>3151000</v>
      </c>
      <c r="AI16" s="50">
        <f>AH16+D16</f>
        <v>58993210</v>
      </c>
      <c r="AJ16" s="50">
        <f t="shared" si="2"/>
        <v>5.8993209999999996</v>
      </c>
      <c r="AK16" s="8">
        <f t="shared" si="3"/>
        <v>4.4306789999999996</v>
      </c>
      <c r="AL16" s="1"/>
      <c r="AM16" s="1"/>
      <c r="AN16" s="1"/>
      <c r="AO16" s="1"/>
      <c r="AP16" s="1"/>
      <c r="AQ16" s="1"/>
      <c r="AR16" s="1"/>
      <c r="AS16" s="1"/>
    </row>
    <row r="17" spans="1:45" ht="17.5" customHeight="1" x14ac:dyDescent="0.35">
      <c r="A17" s="38" t="s">
        <v>31</v>
      </c>
      <c r="B17" s="36"/>
      <c r="C17" s="65">
        <f>SUM(C6:C16)</f>
        <v>963400000</v>
      </c>
      <c r="D17" s="50">
        <f>SUM(D6:D16)</f>
        <v>184452095</v>
      </c>
      <c r="E17" s="51">
        <f>SUM(E6:E16)</f>
        <v>22205496</v>
      </c>
      <c r="F17" s="51">
        <f>SUM(F6:F16)</f>
        <v>8898257</v>
      </c>
      <c r="G17" s="50">
        <f>SUM(G6:G16)</f>
        <v>13842350</v>
      </c>
      <c r="H17" s="50">
        <f>SUM(H6:H16)</f>
        <v>10124838</v>
      </c>
      <c r="I17" s="51">
        <f>SUM(I6:I16)</f>
        <v>212775493</v>
      </c>
      <c r="J17" s="51">
        <f>SUM(J6:J16)</f>
        <v>47509635</v>
      </c>
      <c r="K17" s="50">
        <f>SUM(K6:K16)</f>
        <v>26992540</v>
      </c>
      <c r="L17" s="50">
        <f>SUM(L6:L16)</f>
        <v>16260560</v>
      </c>
      <c r="M17" s="51">
        <f>SUM(M6:M16)</f>
        <v>37778667</v>
      </c>
      <c r="N17" s="51">
        <f>SUM(N6:N16)</f>
        <v>26130863</v>
      </c>
      <c r="O17" s="50">
        <f>SUM(O6:O16)</f>
        <v>39937125</v>
      </c>
      <c r="P17" s="50">
        <f>SUM(P6:P16)</f>
        <v>28524339</v>
      </c>
      <c r="Q17" s="51">
        <f>SUM(Q6:Q16)</f>
        <v>51652840</v>
      </c>
      <c r="R17" s="51">
        <f>SUM(R6:R16)</f>
        <v>48566032</v>
      </c>
      <c r="S17" s="50">
        <f>SUM(S6:S16)</f>
        <v>51654568</v>
      </c>
      <c r="T17" s="50">
        <f>SUM(T6:T16)</f>
        <v>33371291</v>
      </c>
      <c r="U17" s="51">
        <f>SUM(U6:U16)</f>
        <v>49523856</v>
      </c>
      <c r="V17" s="51">
        <f>SUM(V6:V16)</f>
        <v>38286543</v>
      </c>
      <c r="W17" s="50">
        <f>SUM(W6:W16)</f>
        <v>20777806</v>
      </c>
      <c r="X17" s="50">
        <f>SUM(X6:X16)</f>
        <v>16823467</v>
      </c>
      <c r="Y17" s="51">
        <f>SUM(Y6:Y16)</f>
        <v>36079923</v>
      </c>
      <c r="Z17" s="51">
        <f>SUM(Z6:Z16)</f>
        <v>30586045</v>
      </c>
      <c r="AA17" s="50">
        <f>SUM(AA6:AA16)</f>
        <v>124043277</v>
      </c>
      <c r="AB17" s="50">
        <f>SUM(AB6:AB16)</f>
        <v>69732421</v>
      </c>
      <c r="AC17" s="51">
        <f>SUM(AC6:AC16)</f>
        <v>50345054</v>
      </c>
      <c r="AD17" s="51">
        <f>SUM(AD6:AD16)</f>
        <v>41887609</v>
      </c>
      <c r="AE17" s="52">
        <f>SUM(AE6:AE16)</f>
        <v>0</v>
      </c>
      <c r="AF17" s="52">
        <f>SUM(AF6:AF16)</f>
        <v>0</v>
      </c>
      <c r="AG17" s="50">
        <f>SUM(AG6:AG16)</f>
        <v>737608995</v>
      </c>
      <c r="AH17" s="50">
        <f>SUM(AH6:AH16)</f>
        <v>416701900</v>
      </c>
      <c r="AI17" s="50">
        <f>SUM(AI6:AI16)</f>
        <v>601153995</v>
      </c>
      <c r="AJ17" s="50">
        <f>SUM(AJ6:AJ16)</f>
        <v>60.115399499999995</v>
      </c>
      <c r="AK17" s="8">
        <f>SUM(AK6:AK16)</f>
        <v>36.224600500000001</v>
      </c>
      <c r="AL17" s="1"/>
      <c r="AM17" s="69"/>
      <c r="AN17" s="1"/>
      <c r="AO17" s="1"/>
      <c r="AP17" s="1"/>
      <c r="AQ17" s="1"/>
      <c r="AR17" s="1"/>
      <c r="AS17" s="1"/>
    </row>
    <row r="18" spans="1:45" ht="17.5" customHeight="1" x14ac:dyDescent="0.35">
      <c r="A18" s="20"/>
      <c r="B18" s="21" t="s">
        <v>33</v>
      </c>
      <c r="C18" s="66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28"/>
      <c r="AL18" s="1"/>
      <c r="AM18" s="69"/>
      <c r="AN18" s="64"/>
      <c r="AO18" s="1"/>
      <c r="AP18" s="1"/>
      <c r="AQ18" s="1"/>
      <c r="AR18" s="1"/>
      <c r="AS18" s="1"/>
    </row>
    <row r="19" spans="1:45" ht="17.5" customHeight="1" x14ac:dyDescent="0.35">
      <c r="A19" s="16">
        <v>1</v>
      </c>
      <c r="B19" s="17" t="s">
        <v>35</v>
      </c>
      <c r="C19" s="65">
        <v>795500000</v>
      </c>
      <c r="D19" s="50">
        <v>74737689</v>
      </c>
      <c r="E19" s="51">
        <v>0</v>
      </c>
      <c r="F19" s="51">
        <v>0</v>
      </c>
      <c r="G19" s="50">
        <v>0</v>
      </c>
      <c r="H19" s="50">
        <v>0</v>
      </c>
      <c r="I19" s="51">
        <v>0</v>
      </c>
      <c r="J19" s="51">
        <v>0</v>
      </c>
      <c r="K19" s="50">
        <v>0</v>
      </c>
      <c r="L19" s="50">
        <v>0</v>
      </c>
      <c r="M19" s="51">
        <v>0</v>
      </c>
      <c r="N19" s="51">
        <v>0</v>
      </c>
      <c r="O19" s="50">
        <v>0</v>
      </c>
      <c r="P19" s="50">
        <v>0</v>
      </c>
      <c r="Q19" s="51">
        <v>0</v>
      </c>
      <c r="R19" s="51">
        <v>0</v>
      </c>
      <c r="S19" s="50">
        <v>0</v>
      </c>
      <c r="T19" s="50">
        <v>0</v>
      </c>
      <c r="U19" s="51"/>
      <c r="V19" s="51"/>
      <c r="W19" s="50"/>
      <c r="X19" s="50"/>
      <c r="Y19" s="51"/>
      <c r="Z19" s="51"/>
      <c r="AA19" s="50"/>
      <c r="AB19" s="50"/>
      <c r="AC19" s="51"/>
      <c r="AD19" s="51"/>
      <c r="AE19" s="52">
        <v>105950668</v>
      </c>
      <c r="AF19" s="52">
        <v>66162465</v>
      </c>
      <c r="AG19" s="50">
        <f>SUM(AE19,AC19,AA19,Y19,W19,U19,S19,Q19,O19,M19,K19,I19,G19,E19)</f>
        <v>105950668</v>
      </c>
      <c r="AH19" s="50">
        <f>SUM(AF19,AD19,AB19,Z19,X19,V19,T19,R19,P19,N19,L19,J19,H19,F19)</f>
        <v>66162465</v>
      </c>
      <c r="AI19" s="50">
        <f>AH19+D19</f>
        <v>140900154</v>
      </c>
      <c r="AJ19" s="50">
        <f t="shared" ref="AJ19" si="4">AI19/10000000</f>
        <v>14.0900154</v>
      </c>
      <c r="AK19" s="8">
        <f>(C19-AI19)/10000000</f>
        <v>65.459984599999999</v>
      </c>
      <c r="AL19" s="1"/>
      <c r="AM19" s="1"/>
      <c r="AN19" s="1"/>
      <c r="AO19" s="1"/>
      <c r="AP19" s="1"/>
      <c r="AQ19" s="1"/>
      <c r="AR19" s="1"/>
      <c r="AS19" s="1"/>
    </row>
    <row r="20" spans="1:45" ht="17.5" customHeight="1" x14ac:dyDescent="0.35">
      <c r="A20" s="29"/>
      <c r="B20" s="30" t="s">
        <v>45</v>
      </c>
      <c r="C20" s="67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3"/>
      <c r="AJ20" s="53"/>
      <c r="AK20" s="28"/>
      <c r="AL20" s="1"/>
      <c r="AM20" s="1"/>
      <c r="AN20" s="1"/>
      <c r="AO20" s="1"/>
      <c r="AP20" s="1"/>
      <c r="AQ20" s="1"/>
      <c r="AR20" s="1"/>
      <c r="AS20" s="1"/>
    </row>
    <row r="21" spans="1:45" ht="17.5" customHeight="1" x14ac:dyDescent="0.35">
      <c r="A21" s="18">
        <v>2</v>
      </c>
      <c r="B21" s="13" t="s">
        <v>40</v>
      </c>
      <c r="C21" s="68"/>
      <c r="D21" s="55"/>
      <c r="E21" s="56"/>
      <c r="F21" s="56"/>
      <c r="G21" s="55"/>
      <c r="H21" s="55"/>
      <c r="I21" s="56"/>
      <c r="J21" s="56"/>
      <c r="K21" s="55"/>
      <c r="L21" s="55"/>
      <c r="M21" s="56"/>
      <c r="N21" s="56"/>
      <c r="O21" s="55"/>
      <c r="P21" s="55"/>
      <c r="Q21" s="56"/>
      <c r="R21" s="56"/>
      <c r="S21" s="55"/>
      <c r="T21" s="55"/>
      <c r="U21" s="56"/>
      <c r="V21" s="56"/>
      <c r="W21" s="55"/>
      <c r="X21" s="55"/>
      <c r="Y21" s="56"/>
      <c r="Z21" s="56"/>
      <c r="AA21" s="55"/>
      <c r="AB21" s="55"/>
      <c r="AC21" s="56"/>
      <c r="AD21" s="56"/>
      <c r="AE21" s="57"/>
      <c r="AF21" s="57"/>
      <c r="AG21" s="55"/>
      <c r="AH21" s="55"/>
      <c r="AI21" s="50"/>
      <c r="AJ21" s="50"/>
      <c r="AK21" s="8"/>
      <c r="AL21" s="1"/>
      <c r="AM21" s="1"/>
      <c r="AN21" s="1"/>
      <c r="AO21" s="1"/>
      <c r="AP21" s="1"/>
      <c r="AQ21" s="1"/>
      <c r="AR21" s="1"/>
      <c r="AS21" s="1"/>
    </row>
    <row r="22" spans="1:45" ht="17.5" customHeight="1" x14ac:dyDescent="0.35">
      <c r="A22" s="14" t="s">
        <v>26</v>
      </c>
      <c r="B22" s="9" t="s">
        <v>46</v>
      </c>
      <c r="C22" s="65">
        <v>245800000</v>
      </c>
      <c r="D22" s="50">
        <v>106061250</v>
      </c>
      <c r="E22" s="51">
        <v>0</v>
      </c>
      <c r="F22" s="51">
        <v>0</v>
      </c>
      <c r="G22" s="50">
        <v>0</v>
      </c>
      <c r="H22" s="50">
        <v>0</v>
      </c>
      <c r="I22" s="51">
        <v>0</v>
      </c>
      <c r="J22" s="51">
        <v>0</v>
      </c>
      <c r="K22" s="50">
        <v>0</v>
      </c>
      <c r="L22" s="50">
        <v>0</v>
      </c>
      <c r="M22" s="51">
        <v>0</v>
      </c>
      <c r="N22" s="51">
        <v>0</v>
      </c>
      <c r="O22" s="50">
        <v>0</v>
      </c>
      <c r="P22" s="50">
        <v>0</v>
      </c>
      <c r="Q22" s="51">
        <v>0</v>
      </c>
      <c r="R22" s="51">
        <v>0</v>
      </c>
      <c r="S22" s="50">
        <v>0</v>
      </c>
      <c r="T22" s="50">
        <v>0</v>
      </c>
      <c r="U22" s="51">
        <v>12760185</v>
      </c>
      <c r="V22" s="51">
        <v>12760185</v>
      </c>
      <c r="W22" s="50"/>
      <c r="X22" s="50"/>
      <c r="Y22" s="51"/>
      <c r="Z22" s="51"/>
      <c r="AA22" s="50"/>
      <c r="AB22" s="50"/>
      <c r="AC22" s="51"/>
      <c r="AD22" s="51"/>
      <c r="AE22" s="52"/>
      <c r="AF22" s="52"/>
      <c r="AG22" s="50">
        <f>SUM(AE22,AC22,AA22,Y22,W22,U22,S22,Q22,O22,M22,K22,I22,G22,E22)</f>
        <v>12760185</v>
      </c>
      <c r="AH22" s="50">
        <f>SUM(AF22,AD22,AB22,Z22,X22,V22,T22,R22,P22,N22,L22,J22,H22,F22)</f>
        <v>12760185</v>
      </c>
      <c r="AI22" s="50">
        <f t="shared" ref="AI22:AI23" si="5">AH22+D22</f>
        <v>118821435</v>
      </c>
      <c r="AJ22" s="50">
        <f t="shared" ref="AJ22:AJ23" si="6">AI22/10000000</f>
        <v>11.8821435</v>
      </c>
      <c r="AK22" s="8">
        <f>(C22-AI22)/10000000</f>
        <v>12.6978565</v>
      </c>
      <c r="AL22" s="1"/>
      <c r="AM22" s="1"/>
      <c r="AN22" s="1"/>
      <c r="AO22" s="1"/>
      <c r="AP22" s="1"/>
      <c r="AQ22" s="1"/>
      <c r="AR22" s="1"/>
      <c r="AS22" s="1"/>
    </row>
    <row r="23" spans="1:45" ht="17.5" customHeight="1" x14ac:dyDescent="0.35">
      <c r="A23" s="6" t="s">
        <v>27</v>
      </c>
      <c r="B23" s="9" t="s">
        <v>25</v>
      </c>
      <c r="C23" s="65">
        <v>193700000</v>
      </c>
      <c r="D23" s="50">
        <v>26365426</v>
      </c>
      <c r="E23" s="51">
        <v>0</v>
      </c>
      <c r="F23" s="51">
        <v>0</v>
      </c>
      <c r="G23" s="50">
        <v>5064307</v>
      </c>
      <c r="H23" s="50">
        <v>5064307</v>
      </c>
      <c r="I23" s="51">
        <v>2419105</v>
      </c>
      <c r="J23" s="51">
        <v>2419105</v>
      </c>
      <c r="K23" s="50">
        <v>8063307</v>
      </c>
      <c r="L23" s="50">
        <v>8063307</v>
      </c>
      <c r="M23" s="51">
        <v>0</v>
      </c>
      <c r="N23" s="51">
        <v>0</v>
      </c>
      <c r="O23" s="50">
        <v>11322201</v>
      </c>
      <c r="P23" s="50">
        <v>11322201</v>
      </c>
      <c r="Q23" s="51">
        <v>1547159</v>
      </c>
      <c r="R23" s="51">
        <v>1547159</v>
      </c>
      <c r="S23" s="50">
        <v>4433982</v>
      </c>
      <c r="T23" s="50">
        <v>4433982</v>
      </c>
      <c r="U23" s="51">
        <v>29951743</v>
      </c>
      <c r="V23" s="51">
        <v>22070238</v>
      </c>
      <c r="W23" s="50">
        <v>5038925</v>
      </c>
      <c r="X23" s="50">
        <v>5038925</v>
      </c>
      <c r="Y23" s="51">
        <v>11961704</v>
      </c>
      <c r="Z23" s="51">
        <v>11961704</v>
      </c>
      <c r="AA23" s="50">
        <v>14243439</v>
      </c>
      <c r="AB23" s="50">
        <v>13398077</v>
      </c>
      <c r="AC23" s="51">
        <v>28308803</v>
      </c>
      <c r="AD23" s="51">
        <v>12361075</v>
      </c>
      <c r="AE23" s="52"/>
      <c r="AF23" s="52"/>
      <c r="AG23" s="50">
        <f>SUM(AE23,AC23,AA23,Y23,W23,U23,S23,Q23,O23,M23,K23,I23,G23,E23)</f>
        <v>122354675</v>
      </c>
      <c r="AH23" s="50">
        <f>SUM(AF23,AD23,AB23,Z23,X23,V23,T23,R23,P23,N23,L23,J23,H23,F23)</f>
        <v>97680080</v>
      </c>
      <c r="AI23" s="50">
        <f t="shared" si="5"/>
        <v>124045506</v>
      </c>
      <c r="AJ23" s="50">
        <f t="shared" si="6"/>
        <v>12.4045506</v>
      </c>
      <c r="AK23" s="8">
        <f>(C23-AI23)/10000000</f>
        <v>6.9654493999999998</v>
      </c>
      <c r="AL23" s="1"/>
      <c r="AM23" s="1"/>
      <c r="AN23" s="1"/>
      <c r="AO23" s="1"/>
      <c r="AP23" s="1"/>
      <c r="AQ23" s="1"/>
      <c r="AR23" s="1"/>
      <c r="AS23" s="1"/>
    </row>
    <row r="24" spans="1:45" ht="17.5" customHeight="1" x14ac:dyDescent="0.35">
      <c r="A24" s="35" t="s">
        <v>32</v>
      </c>
      <c r="B24" s="36"/>
      <c r="C24" s="65">
        <f>SUM(C22:C23)</f>
        <v>439500000</v>
      </c>
      <c r="D24" s="50">
        <f>D22+D23</f>
        <v>132426676</v>
      </c>
      <c r="E24" s="51">
        <f t="shared" ref="E24:AJ24" si="7">E22+E23</f>
        <v>0</v>
      </c>
      <c r="F24" s="51">
        <f t="shared" si="7"/>
        <v>0</v>
      </c>
      <c r="G24" s="50">
        <f t="shared" si="7"/>
        <v>5064307</v>
      </c>
      <c r="H24" s="50">
        <f t="shared" si="7"/>
        <v>5064307</v>
      </c>
      <c r="I24" s="51">
        <f t="shared" si="7"/>
        <v>2419105</v>
      </c>
      <c r="J24" s="51">
        <f t="shared" si="7"/>
        <v>2419105</v>
      </c>
      <c r="K24" s="50">
        <f t="shared" si="7"/>
        <v>8063307</v>
      </c>
      <c r="L24" s="50">
        <f t="shared" si="7"/>
        <v>8063307</v>
      </c>
      <c r="M24" s="51">
        <f t="shared" si="7"/>
        <v>0</v>
      </c>
      <c r="N24" s="51">
        <f t="shared" si="7"/>
        <v>0</v>
      </c>
      <c r="O24" s="50">
        <f t="shared" si="7"/>
        <v>11322201</v>
      </c>
      <c r="P24" s="50">
        <f t="shared" si="7"/>
        <v>11322201</v>
      </c>
      <c r="Q24" s="51">
        <f t="shared" si="7"/>
        <v>1547159</v>
      </c>
      <c r="R24" s="51">
        <f t="shared" si="7"/>
        <v>1547159</v>
      </c>
      <c r="S24" s="50">
        <f t="shared" si="7"/>
        <v>4433982</v>
      </c>
      <c r="T24" s="50">
        <f t="shared" si="7"/>
        <v>4433982</v>
      </c>
      <c r="U24" s="51">
        <f t="shared" si="7"/>
        <v>42711928</v>
      </c>
      <c r="V24" s="51">
        <f t="shared" si="7"/>
        <v>34830423</v>
      </c>
      <c r="W24" s="50">
        <f t="shared" si="7"/>
        <v>5038925</v>
      </c>
      <c r="X24" s="50">
        <f t="shared" si="7"/>
        <v>5038925</v>
      </c>
      <c r="Y24" s="51">
        <f t="shared" si="7"/>
        <v>11961704</v>
      </c>
      <c r="Z24" s="51">
        <f t="shared" si="7"/>
        <v>11961704</v>
      </c>
      <c r="AA24" s="50">
        <f t="shared" si="7"/>
        <v>14243439</v>
      </c>
      <c r="AB24" s="50">
        <f t="shared" si="7"/>
        <v>13398077</v>
      </c>
      <c r="AC24" s="51">
        <f t="shared" si="7"/>
        <v>28308803</v>
      </c>
      <c r="AD24" s="51">
        <f t="shared" si="7"/>
        <v>12361075</v>
      </c>
      <c r="AE24" s="52">
        <f t="shared" si="7"/>
        <v>0</v>
      </c>
      <c r="AF24" s="52">
        <f t="shared" si="7"/>
        <v>0</v>
      </c>
      <c r="AG24" s="50">
        <f t="shared" si="7"/>
        <v>135114860</v>
      </c>
      <c r="AH24" s="50">
        <f t="shared" si="7"/>
        <v>110440265</v>
      </c>
      <c r="AI24" s="50">
        <f t="shared" si="7"/>
        <v>242866941</v>
      </c>
      <c r="AJ24" s="50">
        <f t="shared" si="7"/>
        <v>24.286694099999998</v>
      </c>
      <c r="AK24" s="8">
        <f>SUM(AK22:AK23)</f>
        <v>19.663305900000001</v>
      </c>
      <c r="AL24" s="1"/>
      <c r="AM24" s="1"/>
      <c r="AN24" s="1"/>
      <c r="AO24" s="1"/>
      <c r="AP24" s="1"/>
      <c r="AQ24" s="1"/>
      <c r="AR24" s="1"/>
      <c r="AS24" s="1"/>
    </row>
    <row r="25" spans="1:45" ht="17.5" customHeight="1" x14ac:dyDescent="0.35">
      <c r="A25" s="35" t="s">
        <v>47</v>
      </c>
      <c r="B25" s="36"/>
      <c r="C25" s="65">
        <f>C24+C19</f>
        <v>1235000000</v>
      </c>
      <c r="D25" s="50">
        <f>D24+D19</f>
        <v>207164365</v>
      </c>
      <c r="E25" s="51">
        <f t="shared" ref="E25:AJ25" si="8">E24+E19</f>
        <v>0</v>
      </c>
      <c r="F25" s="51">
        <f t="shared" si="8"/>
        <v>0</v>
      </c>
      <c r="G25" s="50">
        <f t="shared" si="8"/>
        <v>5064307</v>
      </c>
      <c r="H25" s="50">
        <f t="shared" si="8"/>
        <v>5064307</v>
      </c>
      <c r="I25" s="51">
        <f t="shared" si="8"/>
        <v>2419105</v>
      </c>
      <c r="J25" s="51">
        <f t="shared" si="8"/>
        <v>2419105</v>
      </c>
      <c r="K25" s="50">
        <f t="shared" si="8"/>
        <v>8063307</v>
      </c>
      <c r="L25" s="50">
        <f t="shared" si="8"/>
        <v>8063307</v>
      </c>
      <c r="M25" s="51">
        <f t="shared" si="8"/>
        <v>0</v>
      </c>
      <c r="N25" s="51">
        <f t="shared" si="8"/>
        <v>0</v>
      </c>
      <c r="O25" s="50">
        <f t="shared" si="8"/>
        <v>11322201</v>
      </c>
      <c r="P25" s="50">
        <f t="shared" si="8"/>
        <v>11322201</v>
      </c>
      <c r="Q25" s="51">
        <f t="shared" si="8"/>
        <v>1547159</v>
      </c>
      <c r="R25" s="51">
        <f t="shared" si="8"/>
        <v>1547159</v>
      </c>
      <c r="S25" s="50">
        <f t="shared" si="8"/>
        <v>4433982</v>
      </c>
      <c r="T25" s="50">
        <f t="shared" si="8"/>
        <v>4433982</v>
      </c>
      <c r="U25" s="51">
        <f t="shared" si="8"/>
        <v>42711928</v>
      </c>
      <c r="V25" s="51">
        <f t="shared" si="8"/>
        <v>34830423</v>
      </c>
      <c r="W25" s="50">
        <f t="shared" si="8"/>
        <v>5038925</v>
      </c>
      <c r="X25" s="50">
        <f t="shared" si="8"/>
        <v>5038925</v>
      </c>
      <c r="Y25" s="51">
        <f t="shared" si="8"/>
        <v>11961704</v>
      </c>
      <c r="Z25" s="51">
        <f t="shared" si="8"/>
        <v>11961704</v>
      </c>
      <c r="AA25" s="50">
        <f t="shared" si="8"/>
        <v>14243439</v>
      </c>
      <c r="AB25" s="50">
        <f t="shared" si="8"/>
        <v>13398077</v>
      </c>
      <c r="AC25" s="51">
        <f t="shared" si="8"/>
        <v>28308803</v>
      </c>
      <c r="AD25" s="51">
        <f t="shared" si="8"/>
        <v>12361075</v>
      </c>
      <c r="AE25" s="52">
        <f t="shared" si="8"/>
        <v>105950668</v>
      </c>
      <c r="AF25" s="52">
        <f t="shared" si="8"/>
        <v>66162465</v>
      </c>
      <c r="AG25" s="50">
        <f t="shared" si="8"/>
        <v>241065528</v>
      </c>
      <c r="AH25" s="50">
        <f t="shared" si="8"/>
        <v>176602730</v>
      </c>
      <c r="AI25" s="50">
        <f t="shared" si="8"/>
        <v>383767095</v>
      </c>
      <c r="AJ25" s="50">
        <f t="shared" si="8"/>
        <v>38.376709499999997</v>
      </c>
      <c r="AK25" s="8">
        <f>AK24+AK19</f>
        <v>85.123290499999996</v>
      </c>
      <c r="AL25" s="1"/>
      <c r="AM25" s="1"/>
      <c r="AN25" s="1"/>
      <c r="AO25" s="1"/>
      <c r="AP25" s="1"/>
      <c r="AQ25" s="1"/>
      <c r="AR25" s="1"/>
      <c r="AS25" s="1"/>
    </row>
    <row r="26" spans="1:45" ht="17.5" customHeight="1" collapsed="1" x14ac:dyDescent="0.35">
      <c r="A26" s="19"/>
      <c r="B26" s="21" t="s">
        <v>44</v>
      </c>
      <c r="C26" s="6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  <c r="AJ26" s="28"/>
      <c r="AK26" s="28"/>
      <c r="AL26" s="1"/>
      <c r="AM26" s="1"/>
      <c r="AN26" s="1"/>
      <c r="AO26" s="1"/>
      <c r="AP26" s="1"/>
      <c r="AQ26" s="1"/>
      <c r="AR26" s="1"/>
      <c r="AS26" s="1"/>
    </row>
    <row r="27" spans="1:45" ht="17.5" hidden="1" customHeight="1" outlineLevel="1" x14ac:dyDescent="0.35">
      <c r="A27" s="3">
        <v>1</v>
      </c>
      <c r="B27" s="17" t="s">
        <v>60</v>
      </c>
      <c r="C27" s="65">
        <v>25000000</v>
      </c>
      <c r="D27" s="70">
        <v>18900000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6"/>
      <c r="AH27" s="6"/>
      <c r="AI27" s="8"/>
      <c r="AJ27" s="8"/>
      <c r="AK27" s="8"/>
      <c r="AL27" s="1"/>
      <c r="AM27" s="1"/>
      <c r="AN27" s="1"/>
      <c r="AO27" s="1"/>
      <c r="AP27" s="1"/>
      <c r="AQ27" s="1"/>
      <c r="AR27" s="1"/>
      <c r="AS27" s="1"/>
    </row>
    <row r="28" spans="1:45" ht="17.5" hidden="1" customHeight="1" outlineLevel="1" x14ac:dyDescent="0.35">
      <c r="A28" s="45">
        <v>2</v>
      </c>
      <c r="B28" s="46" t="s">
        <v>61</v>
      </c>
      <c r="C28" s="65">
        <v>10000000</v>
      </c>
      <c r="D28" s="70">
        <v>10000000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6"/>
      <c r="AH28" s="6"/>
      <c r="AI28" s="8"/>
      <c r="AJ28" s="8"/>
      <c r="AK28" s="8"/>
      <c r="AL28" s="1"/>
      <c r="AM28" s="1"/>
      <c r="AN28" s="1"/>
      <c r="AO28" s="1"/>
      <c r="AP28" s="1"/>
      <c r="AQ28" s="1"/>
      <c r="AR28" s="1"/>
      <c r="AS28" s="1"/>
    </row>
    <row r="29" spans="1:45" ht="17.5" hidden="1" customHeight="1" outlineLevel="1" x14ac:dyDescent="0.35">
      <c r="A29" s="45">
        <v>3</v>
      </c>
      <c r="B29" s="46" t="s">
        <v>62</v>
      </c>
      <c r="C29" s="65">
        <v>50000000</v>
      </c>
      <c r="D29" s="70">
        <v>22300000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6"/>
      <c r="AH29" s="6"/>
      <c r="AI29" s="8"/>
      <c r="AJ29" s="8"/>
      <c r="AK29" s="8"/>
      <c r="AL29" s="1"/>
      <c r="AM29" s="1"/>
      <c r="AN29" s="1"/>
      <c r="AO29" s="1"/>
      <c r="AP29" s="1"/>
      <c r="AQ29" s="1"/>
      <c r="AR29" s="1"/>
      <c r="AS29" s="1"/>
    </row>
    <row r="30" spans="1:45" ht="17.5" hidden="1" customHeight="1" outlineLevel="1" x14ac:dyDescent="0.35">
      <c r="A30" s="45">
        <v>4</v>
      </c>
      <c r="B30" s="46" t="s">
        <v>63</v>
      </c>
      <c r="C30" s="65">
        <v>15000000</v>
      </c>
      <c r="D30" s="70">
        <v>12700000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6"/>
      <c r="AH30" s="6"/>
      <c r="AI30" s="8"/>
      <c r="AJ30" s="8"/>
      <c r="AK30" s="8"/>
      <c r="AL30" s="1"/>
      <c r="AM30" s="1"/>
      <c r="AN30" s="1"/>
      <c r="AO30" s="1"/>
      <c r="AP30" s="1"/>
      <c r="AQ30" s="1"/>
      <c r="AR30" s="1"/>
      <c r="AS30" s="1"/>
    </row>
    <row r="31" spans="1:45" ht="17.5" hidden="1" customHeight="1" outlineLevel="1" x14ac:dyDescent="0.35">
      <c r="A31" s="45">
        <v>5</v>
      </c>
      <c r="B31" s="46" t="s">
        <v>64</v>
      </c>
      <c r="C31" s="65">
        <v>125000000</v>
      </c>
      <c r="D31" s="70">
        <v>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6"/>
      <c r="AH31" s="6"/>
      <c r="AI31" s="8"/>
      <c r="AJ31" s="8"/>
      <c r="AK31" s="8"/>
      <c r="AL31" s="1"/>
      <c r="AM31" s="1"/>
      <c r="AN31" s="1"/>
      <c r="AO31" s="1"/>
      <c r="AP31" s="1"/>
      <c r="AQ31" s="1"/>
      <c r="AR31" s="1"/>
      <c r="AS31" s="1"/>
    </row>
    <row r="32" spans="1:45" ht="17.5" hidden="1" customHeight="1" outlineLevel="1" x14ac:dyDescent="0.35">
      <c r="A32" s="45">
        <v>6</v>
      </c>
      <c r="B32" s="46" t="s">
        <v>65</v>
      </c>
      <c r="C32" s="65">
        <v>30000000</v>
      </c>
      <c r="D32" s="70">
        <v>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6"/>
      <c r="AH32" s="6"/>
      <c r="AI32" s="8"/>
      <c r="AJ32" s="8"/>
      <c r="AK32" s="8"/>
      <c r="AL32" s="1"/>
      <c r="AM32" s="1"/>
      <c r="AN32" s="1"/>
      <c r="AO32" s="1"/>
      <c r="AP32" s="1"/>
      <c r="AQ32" s="1"/>
      <c r="AR32" s="1"/>
      <c r="AS32" s="1"/>
    </row>
    <row r="33" spans="1:45" ht="17.5" hidden="1" customHeight="1" outlineLevel="1" x14ac:dyDescent="0.35">
      <c r="A33" s="45">
        <v>7</v>
      </c>
      <c r="B33" s="46" t="s">
        <v>66</v>
      </c>
      <c r="C33" s="65">
        <v>33750000</v>
      </c>
      <c r="D33" s="70"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6"/>
      <c r="AH33" s="6"/>
      <c r="AI33" s="8"/>
      <c r="AJ33" s="8"/>
      <c r="AK33" s="8"/>
      <c r="AL33" s="1"/>
      <c r="AM33" s="1"/>
      <c r="AN33" s="1"/>
      <c r="AO33" s="1"/>
      <c r="AP33" s="1"/>
      <c r="AQ33" s="1"/>
      <c r="AR33" s="1"/>
      <c r="AS33" s="1"/>
    </row>
    <row r="34" spans="1:45" ht="17.5" hidden="1" customHeight="1" outlineLevel="1" x14ac:dyDescent="0.35">
      <c r="A34" s="45">
        <v>8</v>
      </c>
      <c r="B34" s="46" t="s">
        <v>67</v>
      </c>
      <c r="C34" s="65">
        <v>15000000</v>
      </c>
      <c r="D34" s="70"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6"/>
      <c r="AH34" s="6"/>
      <c r="AI34" s="8"/>
      <c r="AJ34" s="8"/>
      <c r="AK34" s="8"/>
      <c r="AL34" s="1"/>
      <c r="AM34" s="1"/>
      <c r="AN34" s="1"/>
      <c r="AO34" s="1"/>
      <c r="AP34" s="1"/>
      <c r="AQ34" s="1"/>
      <c r="AR34" s="1"/>
      <c r="AS34" s="1"/>
    </row>
    <row r="35" spans="1:45" ht="17.5" hidden="1" customHeight="1" outlineLevel="1" x14ac:dyDescent="0.35">
      <c r="A35" s="45">
        <v>9</v>
      </c>
      <c r="B35" s="46" t="s">
        <v>68</v>
      </c>
      <c r="C35" s="65">
        <v>20000000</v>
      </c>
      <c r="D35" s="70"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6"/>
      <c r="AH35" s="6"/>
      <c r="AI35" s="8"/>
      <c r="AJ35" s="8"/>
      <c r="AK35" s="8"/>
      <c r="AL35" s="1"/>
      <c r="AM35" s="1"/>
      <c r="AN35" s="1"/>
      <c r="AO35" s="1"/>
      <c r="AP35" s="1"/>
      <c r="AQ35" s="1"/>
      <c r="AR35" s="1"/>
      <c r="AS35" s="1"/>
    </row>
    <row r="36" spans="1:45" ht="17.5" hidden="1" customHeight="1" outlineLevel="1" x14ac:dyDescent="0.35">
      <c r="A36" s="45">
        <v>10</v>
      </c>
      <c r="B36" s="46" t="s">
        <v>69</v>
      </c>
      <c r="C36" s="65">
        <v>16250000</v>
      </c>
      <c r="D36" s="70"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6"/>
      <c r="AH36" s="6"/>
      <c r="AI36" s="8"/>
      <c r="AJ36" s="8"/>
      <c r="AK36" s="8"/>
      <c r="AL36" s="1"/>
      <c r="AM36" s="1"/>
      <c r="AN36" s="1"/>
      <c r="AO36" s="1"/>
      <c r="AP36" s="1"/>
      <c r="AQ36" s="1"/>
      <c r="AR36" s="1"/>
      <c r="AS36" s="1"/>
    </row>
    <row r="37" spans="1:45" ht="17.5" hidden="1" customHeight="1" outlineLevel="1" x14ac:dyDescent="0.35">
      <c r="A37" s="45">
        <v>11</v>
      </c>
      <c r="B37" s="46" t="s">
        <v>70</v>
      </c>
      <c r="C37" s="65">
        <v>30000000</v>
      </c>
      <c r="D37" s="70">
        <v>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6"/>
      <c r="AH37" s="6"/>
      <c r="AI37" s="8"/>
      <c r="AJ37" s="8"/>
      <c r="AK37" s="8"/>
      <c r="AL37" s="1"/>
      <c r="AM37" s="1"/>
      <c r="AN37" s="1"/>
      <c r="AO37" s="1"/>
      <c r="AP37" s="1"/>
      <c r="AQ37" s="1"/>
      <c r="AR37" s="1"/>
      <c r="AS37" s="1"/>
    </row>
    <row r="38" spans="1:45" ht="17.5" customHeight="1" x14ac:dyDescent="0.35">
      <c r="A38" s="38" t="s">
        <v>34</v>
      </c>
      <c r="B38" s="39"/>
      <c r="C38" s="65">
        <v>370000000</v>
      </c>
      <c r="D38" s="70">
        <f>SUM(D27:D37)</f>
        <v>63900000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6"/>
      <c r="AH38" s="6"/>
      <c r="AI38" s="50">
        <f>D38</f>
        <v>63900000</v>
      </c>
      <c r="AJ38" s="50">
        <f>AI38/10000000</f>
        <v>6.39</v>
      </c>
      <c r="AK38" s="8">
        <f>(C38-AI38)/10000000</f>
        <v>30.61</v>
      </c>
      <c r="AL38" s="1"/>
      <c r="AM38" s="1"/>
      <c r="AN38" s="1"/>
      <c r="AO38" s="1"/>
      <c r="AP38" s="1"/>
      <c r="AQ38" s="1"/>
      <c r="AR38" s="1"/>
      <c r="AS38" s="1"/>
    </row>
    <row r="39" spans="1:45" ht="17.5" customHeight="1" x14ac:dyDescent="0.35">
      <c r="A39" s="41" t="s">
        <v>57</v>
      </c>
      <c r="B39" s="41"/>
      <c r="C39" s="63">
        <f>SUM(C38,C25,C17)</f>
        <v>2568400000</v>
      </c>
      <c r="D39" s="61">
        <f>SUM(D38,D25,D17)</f>
        <v>455516460</v>
      </c>
      <c r="E39" s="61">
        <f>SUM(E38,E25,E17)</f>
        <v>22205496</v>
      </c>
      <c r="F39" s="61">
        <f>SUM(F38,F25,F17)</f>
        <v>8898257</v>
      </c>
      <c r="G39" s="61">
        <f>SUM(G38,G25,G17)</f>
        <v>18906657</v>
      </c>
      <c r="H39" s="61">
        <f>SUM(H38,H25,H17)</f>
        <v>15189145</v>
      </c>
      <c r="I39" s="61">
        <f>SUM(I38,I25,I17)</f>
        <v>215194598</v>
      </c>
      <c r="J39" s="61">
        <f>SUM(J38,J25,J17)</f>
        <v>49928740</v>
      </c>
      <c r="K39" s="61">
        <f>SUM(K38,K25,K17)</f>
        <v>35055847</v>
      </c>
      <c r="L39" s="61">
        <f>SUM(L38,L25,L17)</f>
        <v>24323867</v>
      </c>
      <c r="M39" s="61">
        <f>SUM(M38,M25,M17)</f>
        <v>37778667</v>
      </c>
      <c r="N39" s="61">
        <f>SUM(N38,N25,N17)</f>
        <v>26130863</v>
      </c>
      <c r="O39" s="61">
        <f>SUM(O38,O25,O17)</f>
        <v>51259326</v>
      </c>
      <c r="P39" s="61">
        <f>SUM(P38,P25,P17)</f>
        <v>39846540</v>
      </c>
      <c r="Q39" s="61">
        <f>SUM(Q38,Q25,Q17)</f>
        <v>53199999</v>
      </c>
      <c r="R39" s="61">
        <f>SUM(R38,R25,R17)</f>
        <v>50113191</v>
      </c>
      <c r="S39" s="61">
        <f>SUM(S38,S25,S17)</f>
        <v>56088550</v>
      </c>
      <c r="T39" s="61">
        <f>SUM(T38,T25,T17)</f>
        <v>37805273</v>
      </c>
      <c r="U39" s="61">
        <f>SUM(U38,U25,U17)</f>
        <v>92235784</v>
      </c>
      <c r="V39" s="61">
        <f>SUM(V38,V25,V17)</f>
        <v>73116966</v>
      </c>
      <c r="W39" s="61">
        <f>SUM(W38,W25,W17)</f>
        <v>25816731</v>
      </c>
      <c r="X39" s="61">
        <f>SUM(X38,X25,X17)</f>
        <v>21862392</v>
      </c>
      <c r="Y39" s="61">
        <f>SUM(Y38,Y25,Y17)</f>
        <v>48041627</v>
      </c>
      <c r="Z39" s="61">
        <f>SUM(Z38,Z25,Z17)</f>
        <v>42547749</v>
      </c>
      <c r="AA39" s="61">
        <f>SUM(AA38,AA25,AA17)</f>
        <v>138286716</v>
      </c>
      <c r="AB39" s="61">
        <f>SUM(AB38,AB25,AB17)</f>
        <v>83130498</v>
      </c>
      <c r="AC39" s="61">
        <f>SUM(AC38,AC25,AC17)</f>
        <v>78653857</v>
      </c>
      <c r="AD39" s="61">
        <f>SUM(AD38,AD25,AD17)</f>
        <v>54248684</v>
      </c>
      <c r="AE39" s="61">
        <f>SUM(AE38,AE25,AE17)</f>
        <v>105950668</v>
      </c>
      <c r="AF39" s="61">
        <f>SUM(AF38,AF25,AF17)</f>
        <v>66162465</v>
      </c>
      <c r="AG39" s="61">
        <f>SUM(AG38,AG25,AG17)</f>
        <v>978674523</v>
      </c>
      <c r="AH39" s="61">
        <f>SUM(AH38,AH25,AH17)</f>
        <v>593304630</v>
      </c>
      <c r="AI39" s="61">
        <f>SUM(AI38,AI25,AI17)</f>
        <v>1048821090</v>
      </c>
      <c r="AJ39" s="61">
        <f>SUM(AJ38,AJ25,AJ17)</f>
        <v>104.88210899999999</v>
      </c>
      <c r="AK39" s="62">
        <f>SUM(AK38,AK25,AK17)</f>
        <v>151.95789099999999</v>
      </c>
      <c r="AL39" s="1"/>
      <c r="AM39" s="1"/>
      <c r="AN39" s="1"/>
      <c r="AO39" s="1"/>
      <c r="AP39" s="1"/>
      <c r="AQ39" s="1"/>
      <c r="AR39" s="1"/>
      <c r="AS39" s="1"/>
    </row>
    <row r="40" spans="1:45" ht="17.5" customHeight="1" x14ac:dyDescent="0.35">
      <c r="A40" s="47" t="s">
        <v>58</v>
      </c>
      <c r="B40" s="48"/>
      <c r="C40" s="63">
        <f>C39/10000000</f>
        <v>256.83999999999997</v>
      </c>
      <c r="D40" s="63">
        <f t="shared" ref="C40:AI40" si="9">D39/10000000</f>
        <v>45.551645999999998</v>
      </c>
      <c r="E40" s="63">
        <f t="shared" si="9"/>
        <v>2.2205496</v>
      </c>
      <c r="F40" s="63">
        <f t="shared" si="9"/>
        <v>0.88982570000000005</v>
      </c>
      <c r="G40" s="63">
        <f t="shared" si="9"/>
        <v>1.8906657</v>
      </c>
      <c r="H40" s="63">
        <f t="shared" si="9"/>
        <v>1.5189144999999999</v>
      </c>
      <c r="I40" s="63">
        <f t="shared" si="9"/>
        <v>21.5194598</v>
      </c>
      <c r="J40" s="63">
        <f t="shared" si="9"/>
        <v>4.9928739999999996</v>
      </c>
      <c r="K40" s="63">
        <f t="shared" si="9"/>
        <v>3.5055847</v>
      </c>
      <c r="L40" s="63">
        <f t="shared" si="9"/>
        <v>2.4323866999999999</v>
      </c>
      <c r="M40" s="63">
        <f t="shared" si="9"/>
        <v>3.7778667000000001</v>
      </c>
      <c r="N40" s="63">
        <f t="shared" si="9"/>
        <v>2.6130863</v>
      </c>
      <c r="O40" s="63">
        <f t="shared" si="9"/>
        <v>5.1259325999999996</v>
      </c>
      <c r="P40" s="63">
        <f t="shared" si="9"/>
        <v>3.9846539999999999</v>
      </c>
      <c r="Q40" s="63">
        <f t="shared" si="9"/>
        <v>5.3199999</v>
      </c>
      <c r="R40" s="63">
        <f t="shared" si="9"/>
        <v>5.0113190999999997</v>
      </c>
      <c r="S40" s="63">
        <f t="shared" si="9"/>
        <v>5.6088550000000001</v>
      </c>
      <c r="T40" s="63">
        <f t="shared" si="9"/>
        <v>3.7805273000000001</v>
      </c>
      <c r="U40" s="63">
        <f t="shared" si="9"/>
        <v>9.2235783999999992</v>
      </c>
      <c r="V40" s="63">
        <f t="shared" si="9"/>
        <v>7.3116966000000003</v>
      </c>
      <c r="W40" s="63">
        <f t="shared" si="9"/>
        <v>2.5816731000000002</v>
      </c>
      <c r="X40" s="63">
        <f t="shared" si="9"/>
        <v>2.1862392000000002</v>
      </c>
      <c r="Y40" s="63">
        <f t="shared" si="9"/>
        <v>4.8041627</v>
      </c>
      <c r="Z40" s="63">
        <f t="shared" si="9"/>
        <v>4.2547749000000001</v>
      </c>
      <c r="AA40" s="63">
        <f t="shared" si="9"/>
        <v>13.8286716</v>
      </c>
      <c r="AB40" s="63">
        <f t="shared" si="9"/>
        <v>8.3130497999999999</v>
      </c>
      <c r="AC40" s="63">
        <f t="shared" si="9"/>
        <v>7.8653857</v>
      </c>
      <c r="AD40" s="63">
        <f t="shared" si="9"/>
        <v>5.4248684000000003</v>
      </c>
      <c r="AE40" s="63">
        <f t="shared" si="9"/>
        <v>10.5950668</v>
      </c>
      <c r="AF40" s="63">
        <f t="shared" si="9"/>
        <v>6.6162464999999999</v>
      </c>
      <c r="AG40" s="63">
        <f t="shared" si="9"/>
        <v>97.867452299999997</v>
      </c>
      <c r="AH40" s="63">
        <f t="shared" si="9"/>
        <v>59.330463000000002</v>
      </c>
      <c r="AI40" s="63">
        <f t="shared" si="9"/>
        <v>104.882109</v>
      </c>
      <c r="AJ40" s="63"/>
      <c r="AK40" s="62"/>
      <c r="AL40" s="1"/>
      <c r="AM40" s="1"/>
      <c r="AN40" s="1"/>
      <c r="AO40" s="1"/>
      <c r="AP40" s="1"/>
      <c r="AQ40" s="1"/>
      <c r="AR40" s="1"/>
      <c r="AS40" s="1"/>
    </row>
    <row r="41" spans="1:45" ht="17.5" customHeight="1" x14ac:dyDescent="0.35">
      <c r="A41" s="58" t="s">
        <v>59</v>
      </c>
      <c r="B41" s="58"/>
      <c r="C41" s="62"/>
      <c r="D41" s="49"/>
      <c r="E41" s="59">
        <f>E40-F40</f>
        <v>1.3307239</v>
      </c>
      <c r="F41" s="60"/>
      <c r="G41" s="59">
        <f>G40-H40</f>
        <v>0.37175120000000006</v>
      </c>
      <c r="H41" s="60"/>
      <c r="I41" s="59">
        <f>I40-J40</f>
        <v>16.526585799999999</v>
      </c>
      <c r="J41" s="60"/>
      <c r="K41" s="59">
        <f>K40-L40</f>
        <v>1.0731980000000001</v>
      </c>
      <c r="L41" s="60"/>
      <c r="M41" s="59">
        <f>M40-N40</f>
        <v>1.1647804000000002</v>
      </c>
      <c r="N41" s="60"/>
      <c r="O41" s="59">
        <f>O40-P40</f>
        <v>1.1412785999999997</v>
      </c>
      <c r="P41" s="60"/>
      <c r="Q41" s="59">
        <f>Q40-R40</f>
        <v>0.30868080000000031</v>
      </c>
      <c r="R41" s="60"/>
      <c r="S41" s="59">
        <f>S40-T40</f>
        <v>1.8283277</v>
      </c>
      <c r="T41" s="60"/>
      <c r="U41" s="59">
        <f>U40-V40</f>
        <v>1.9118817999999989</v>
      </c>
      <c r="V41" s="60"/>
      <c r="W41" s="59">
        <f>W40-X40</f>
        <v>0.3954339</v>
      </c>
      <c r="X41" s="60"/>
      <c r="Y41" s="59">
        <f>Y40-Z40</f>
        <v>0.54938779999999987</v>
      </c>
      <c r="Z41" s="60"/>
      <c r="AA41" s="59">
        <f>AA40-AB40</f>
        <v>5.5156217999999999</v>
      </c>
      <c r="AB41" s="60"/>
      <c r="AC41" s="59">
        <f>AC40-AD40</f>
        <v>2.4405172999999998</v>
      </c>
      <c r="AD41" s="60"/>
      <c r="AE41" s="59">
        <f>AE40-AF40</f>
        <v>3.9788202999999998</v>
      </c>
      <c r="AF41" s="60"/>
      <c r="AG41" s="59">
        <f>AG40-AH40</f>
        <v>38.536989299999995</v>
      </c>
      <c r="AH41" s="60"/>
      <c r="AI41" s="26"/>
      <c r="AJ41" s="26"/>
      <c r="AK41" s="26"/>
      <c r="AL41" s="1"/>
      <c r="AM41" s="1"/>
      <c r="AN41" s="1"/>
      <c r="AO41" s="1"/>
      <c r="AP41" s="1"/>
      <c r="AQ41" s="1"/>
      <c r="AR41" s="1"/>
      <c r="AS41" s="1"/>
    </row>
    <row r="42" spans="1:45" ht="14.5" x14ac:dyDescent="0.35">
      <c r="A42" s="25"/>
      <c r="B42" s="4"/>
      <c r="C42" s="4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4"/>
      <c r="AH42" s="4"/>
      <c r="AI42" s="4"/>
      <c r="AJ42" s="4"/>
      <c r="AK42" s="1"/>
      <c r="AL42" s="1"/>
      <c r="AM42" s="1"/>
      <c r="AN42" s="1"/>
      <c r="AO42" s="1"/>
      <c r="AP42" s="1"/>
      <c r="AQ42" s="1"/>
      <c r="AR42" s="1"/>
      <c r="AS42" s="1"/>
    </row>
    <row r="43" spans="1:45" ht="16" x14ac:dyDescent="0.4">
      <c r="A43" s="71"/>
      <c r="B43" s="72" t="s">
        <v>72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ht="14.5" x14ac:dyDescent="0.35">
      <c r="A44" s="1"/>
      <c r="B44" s="1"/>
      <c r="C44" s="1"/>
      <c r="D44" s="64"/>
      <c r="E44" s="6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ht="14.5" x14ac:dyDescent="0.35">
      <c r="A45" s="1"/>
      <c r="B45" s="1"/>
      <c r="C45" s="1"/>
      <c r="D45" s="64"/>
      <c r="E45" s="6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ht="14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ht="14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ht="14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ht="14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ht="14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ht="14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ht="14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ht="14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ht="14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ht="14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ht="14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ht="14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ht="14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ht="14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ht="14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ht="14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ht="14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ht="14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ht="14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ht="14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ht="14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ht="14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ht="14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ht="14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ht="14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ht="14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ht="14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ht="14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ht="14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ht="14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ht="14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ht="14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ht="14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ht="14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4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ht="14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4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ht="14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4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ht="14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4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ht="14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4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ht="14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4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ht="14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4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14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14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ht="14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ht="14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ht="14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ht="14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ht="14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ht="14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ht="14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ht="14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ht="14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ht="14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ht="14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ht="14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ht="14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ht="14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ht="14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ht="14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ht="14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ht="14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ht="14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ht="14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ht="14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ht="14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ht="14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ht="14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ht="14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ht="14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ht="14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ht="14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ht="14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ht="14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ht="14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ht="14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ht="14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ht="14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ht="14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ht="14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ht="14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ht="14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ht="14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ht="14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ht="14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ht="14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ht="14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ht="14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ht="14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ht="14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ht="14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ht="14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ht="14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ht="14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ht="14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ht="14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ht="14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ht="14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ht="14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ht="14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ht="14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ht="14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ht="14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ht="14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ht="14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ht="14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ht="14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ht="14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ht="14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ht="14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ht="14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ht="14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ht="14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ht="14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ht="14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ht="14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ht="14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ht="14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ht="14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ht="14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ht="14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ht="14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ht="14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ht="14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ht="14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ht="14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ht="14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ht="14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ht="14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ht="14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ht="14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ht="14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ht="14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ht="14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ht="14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ht="14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14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ht="14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ht="14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ht="14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ht="14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ht="14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ht="14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ht="14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ht="14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ht="14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ht="14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ht="14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ht="14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ht="14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ht="14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ht="14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ht="14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ht="14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ht="14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ht="14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ht="14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ht="14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ht="14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ht="14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ht="14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ht="14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ht="14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ht="14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ht="14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ht="14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ht="14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ht="14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ht="14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ht="14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ht="14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ht="14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ht="14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ht="14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ht="14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ht="14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ht="14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ht="14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ht="14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ht="14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14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ht="14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ht="14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ht="14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ht="14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ht="14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ht="14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ht="14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ht="14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ht="14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ht="14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ht="14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ht="14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ht="14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ht="14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ht="14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ht="14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ht="14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ht="14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ht="14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ht="14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ht="14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14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ht="14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ht="14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ht="14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ht="14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ht="14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ht="14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ht="14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ht="14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ht="14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ht="14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ht="14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4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4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4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4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4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4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4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4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ht="14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ht="14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ht="14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ht="14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ht="14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ht="14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ht="14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4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4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4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4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4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4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4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4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ht="14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ht="14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ht="14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ht="14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ht="14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ht="14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ht="14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4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4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4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4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4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4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4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4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ht="14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ht="14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ht="14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ht="14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ht="14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ht="14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ht="14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4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4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4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4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4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4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4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4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ht="14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14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ht="14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ht="14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ht="14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ht="14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4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4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4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4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4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4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4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4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4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4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4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4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4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4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4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4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4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4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4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4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4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4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4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4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4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4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4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4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4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4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4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4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4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4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4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4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4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4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4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4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4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4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4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4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4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4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4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4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4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4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4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4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4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4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4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4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4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4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4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4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4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4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4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4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4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4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4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4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4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4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4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4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4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4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4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4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4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4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4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4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4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4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4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4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4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4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4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4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4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4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4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4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4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4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4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4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4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4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4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4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4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4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4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4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4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4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4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4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4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4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4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4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4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4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4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4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4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4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4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4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4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4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4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4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4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4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4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4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4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4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4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4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4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4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4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4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4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4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4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4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4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4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4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4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4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4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4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4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4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4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4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4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4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4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4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4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4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4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4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4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4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4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4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4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4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4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4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4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4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4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4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4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4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4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4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4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4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4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4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4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4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4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4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4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4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4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4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4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4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4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4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4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4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4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4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4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4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4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4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4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4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4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4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4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4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4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4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4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4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4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4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4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4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4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4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4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4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4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4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4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4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4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4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4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4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4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4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4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4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4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4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4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4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4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4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4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4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4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4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4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4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4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4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4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4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4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4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4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4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4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4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4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4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4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4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4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4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4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4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4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4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4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4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4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4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4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4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4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4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4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4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4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4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4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4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4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4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4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4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4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4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4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4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4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4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4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4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4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4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4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4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4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4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4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4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4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4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4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4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4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4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4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4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4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4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4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4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4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4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4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4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4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4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4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4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4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4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4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4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4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4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4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4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4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4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4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4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4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4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4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4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4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4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4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4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4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4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4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4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4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4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4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4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4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4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4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4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4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4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4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4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4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4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4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4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4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4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4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4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4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4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4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4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4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4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4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4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4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4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4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4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4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4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4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4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4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4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4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4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4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4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4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4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4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4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4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4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4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4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4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4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4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4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4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4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4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4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4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4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4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4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4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4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4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4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4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4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4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4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4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4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4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4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4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4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4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4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4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4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4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4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4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4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4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4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4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4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4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4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4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4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4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4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4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4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4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4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4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4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4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4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4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4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4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4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4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4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4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4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4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4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4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4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4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4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4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4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4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4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4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4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4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4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4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4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4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4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4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4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4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4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4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4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4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4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4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4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4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4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4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4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4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4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4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4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4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4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4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4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4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4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4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4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4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4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4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4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4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4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4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4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4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4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4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4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4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4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4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4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4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4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4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4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4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4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4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4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4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4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4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4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4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4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4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4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4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4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4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4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4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4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4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4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4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4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4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4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4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4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4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4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4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4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4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4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4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4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4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4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4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4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4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4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4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4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4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4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4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4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4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4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4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4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4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4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4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4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4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4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4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4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4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4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4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4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4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4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4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4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4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4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4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4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4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4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4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4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4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4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4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4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4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4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4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4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4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4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4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4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4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4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4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4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4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4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4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4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4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4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4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4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4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4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4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4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4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4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4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4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4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4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4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4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4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4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4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4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4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4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4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4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4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4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4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4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4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4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4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4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4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4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4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4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4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4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4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4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4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4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4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4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4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4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4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4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4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4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4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4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4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4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4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4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4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4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4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ht="14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spans="1:45" ht="14.5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spans="1:45" ht="14.5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spans="1:45" ht="14.5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spans="1:45" ht="14.5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</row>
    <row r="1005" spans="1:45" ht="14.5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</row>
    <row r="1006" spans="1:45" ht="14.5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</row>
    <row r="1007" spans="1:45" ht="14.5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</row>
    <row r="1008" spans="1:45" ht="14.5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</row>
    <row r="1009" spans="1:45" ht="14.5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</row>
    <row r="1010" spans="1:45" ht="14.5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</row>
    <row r="1011" spans="1:45" ht="14.5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</row>
    <row r="1012" spans="1:45" ht="14.5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</row>
    <row r="1013" spans="1:45" ht="14.5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</row>
    <row r="1014" spans="1:45" ht="14.5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</row>
    <row r="1015" spans="1:45" ht="14.5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</row>
    <row r="1016" spans="1:45" ht="14.5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</row>
    <row r="1017" spans="1:45" ht="14.5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</row>
    <row r="1018" spans="1:45" ht="14.5" x14ac:dyDescent="0.3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</row>
    <row r="1019" spans="1:45" ht="14.5" x14ac:dyDescent="0.3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</row>
    <row r="1020" spans="1:45" ht="14.5" x14ac:dyDescent="0.3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</row>
    <row r="1021" spans="1:45" ht="14.5" x14ac:dyDescent="0.3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</row>
    <row r="1022" spans="1:45" ht="14.5" x14ac:dyDescent="0.3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</row>
    <row r="1023" spans="1:45" ht="14.5" x14ac:dyDescent="0.3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</row>
  </sheetData>
  <mergeCells count="41">
    <mergeCell ref="AG41:AH41"/>
    <mergeCell ref="AE3:AF3"/>
    <mergeCell ref="A40:B40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1:B41"/>
    <mergeCell ref="A39:B39"/>
    <mergeCell ref="W3:X3"/>
    <mergeCell ref="Y3:Z3"/>
    <mergeCell ref="AA3:AB3"/>
    <mergeCell ref="A38:B38"/>
    <mergeCell ref="A3:B3"/>
    <mergeCell ref="E3:F3"/>
    <mergeCell ref="A1:AK1"/>
    <mergeCell ref="A2:AK2"/>
    <mergeCell ref="AI3:AJ3"/>
    <mergeCell ref="A25:B25"/>
    <mergeCell ref="AG3:AH3"/>
    <mergeCell ref="G3:H3"/>
    <mergeCell ref="I3:J3"/>
    <mergeCell ref="K3:L3"/>
    <mergeCell ref="M3:N3"/>
    <mergeCell ref="O3:P3"/>
    <mergeCell ref="Q3:R3"/>
    <mergeCell ref="S3:T3"/>
    <mergeCell ref="U3:V3"/>
    <mergeCell ref="AC3:AD3"/>
    <mergeCell ref="A17:B17"/>
    <mergeCell ref="A24:B24"/>
  </mergeCells>
  <printOptions horizontalCentered="1" gridLines="1"/>
  <pageMargins left="0.7" right="0.7" top="0.75" bottom="0.75" header="0" footer="0"/>
  <pageSetup paperSize="9" scale="30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31.07.26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Banja</dc:creator>
  <cp:lastModifiedBy>Rohan Banja</cp:lastModifiedBy>
  <cp:lastPrinted>2026-07-29T06:43:25Z</cp:lastPrinted>
  <dcterms:created xsi:type="dcterms:W3CDTF">2026-07-28T15:02:28Z</dcterms:created>
  <dcterms:modified xsi:type="dcterms:W3CDTF">2026-07-31T10:48:04Z</dcterms:modified>
</cp:coreProperties>
</file>